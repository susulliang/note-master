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aoxiang.yang\Desktop\"/>
    </mc:Choice>
  </mc:AlternateContent>
  <xr:revisionPtr revIDLastSave="0" documentId="13_ncr:1_{4670334B-9017-45BC-9837-1861919FD52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6" i="1" l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" i="1"/>
  <c r="H56" i="1" l="1"/>
  <c r="H55" i="1"/>
  <c r="H54" i="1"/>
  <c r="H53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H49" i="1"/>
  <c r="H48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M46" i="1"/>
  <c r="L46" i="1"/>
  <c r="K46" i="1"/>
  <c r="J46" i="1"/>
  <c r="I46" i="1"/>
  <c r="H46" i="1"/>
  <c r="H51" i="1" s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AQ42" i="1"/>
  <c r="AP42" i="1"/>
  <c r="AO42" i="1"/>
  <c r="AN42" i="1"/>
  <c r="AN55" i="1" s="1"/>
  <c r="AM42" i="1"/>
  <c r="AM49" i="1" s="1"/>
  <c r="AL42" i="1"/>
  <c r="AK42" i="1"/>
  <c r="AJ42" i="1"/>
  <c r="AJ55" i="1" s="1"/>
  <c r="AI42" i="1"/>
  <c r="AI55" i="1" s="1"/>
  <c r="AH42" i="1"/>
  <c r="AG42" i="1"/>
  <c r="AF42" i="1"/>
  <c r="AE42" i="1"/>
  <c r="AD42" i="1"/>
  <c r="AC42" i="1"/>
  <c r="AB42" i="1"/>
  <c r="AA42" i="1"/>
  <c r="Z42" i="1"/>
  <c r="Z55" i="1" s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L55" i="1" s="1"/>
  <c r="K42" i="1"/>
  <c r="J42" i="1"/>
  <c r="I42" i="1"/>
  <c r="I55" i="1" s="1"/>
  <c r="H4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J55" i="1" l="1"/>
  <c r="K55" i="1"/>
  <c r="AP55" i="1"/>
  <c r="M55" i="1"/>
  <c r="AH55" i="1"/>
  <c r="AF55" i="1"/>
  <c r="AQ55" i="1"/>
  <c r="AE55" i="1"/>
  <c r="AG55" i="1"/>
  <c r="AC55" i="1"/>
  <c r="W55" i="1"/>
  <c r="P55" i="1"/>
  <c r="Y55" i="1"/>
  <c r="AB55" i="1"/>
  <c r="O49" i="1"/>
  <c r="R55" i="1"/>
  <c r="T55" i="1"/>
  <c r="AK55" i="1"/>
  <c r="AO55" i="1"/>
  <c r="U55" i="1"/>
  <c r="AA48" i="1"/>
  <c r="S55" i="1"/>
  <c r="Q55" i="1"/>
  <c r="AD55" i="1"/>
  <c r="AL55" i="1"/>
  <c r="H57" i="1"/>
  <c r="H59" i="1" s="1"/>
  <c r="H60" i="1" s="1"/>
  <c r="V55" i="1"/>
  <c r="N55" i="1"/>
  <c r="X55" i="1"/>
  <c r="I48" i="1"/>
  <c r="U48" i="1"/>
  <c r="AG48" i="1"/>
  <c r="I49" i="1"/>
  <c r="U49" i="1"/>
  <c r="AG49" i="1"/>
  <c r="I53" i="1"/>
  <c r="I54" i="1"/>
  <c r="U54" i="1"/>
  <c r="AG54" i="1"/>
  <c r="J48" i="1"/>
  <c r="V48" i="1"/>
  <c r="AH48" i="1"/>
  <c r="J49" i="1"/>
  <c r="V49" i="1"/>
  <c r="AH49" i="1"/>
  <c r="J53" i="1"/>
  <c r="J54" i="1"/>
  <c r="V54" i="1"/>
  <c r="V57" i="1" s="1"/>
  <c r="AH54" i="1"/>
  <c r="AH57" i="1" s="1"/>
  <c r="K48" i="1"/>
  <c r="W48" i="1"/>
  <c r="AI48" i="1"/>
  <c r="K49" i="1"/>
  <c r="W49" i="1"/>
  <c r="AI49" i="1"/>
  <c r="K53" i="1"/>
  <c r="K54" i="1"/>
  <c r="W54" i="1"/>
  <c r="AI54" i="1"/>
  <c r="AI57" i="1" s="1"/>
  <c r="L48" i="1"/>
  <c r="X48" i="1"/>
  <c r="AJ48" i="1"/>
  <c r="L49" i="1"/>
  <c r="X49" i="1"/>
  <c r="AJ49" i="1"/>
  <c r="L53" i="1"/>
  <c r="L54" i="1"/>
  <c r="X54" i="1"/>
  <c r="AJ54" i="1"/>
  <c r="AJ57" i="1" s="1"/>
  <c r="M48" i="1"/>
  <c r="Y48" i="1"/>
  <c r="AK48" i="1"/>
  <c r="M49" i="1"/>
  <c r="Y49" i="1"/>
  <c r="AK49" i="1"/>
  <c r="M53" i="1"/>
  <c r="M54" i="1"/>
  <c r="Y54" i="1"/>
  <c r="AK54" i="1"/>
  <c r="N48" i="1"/>
  <c r="Z48" i="1"/>
  <c r="AL48" i="1"/>
  <c r="N49" i="1"/>
  <c r="Z49" i="1"/>
  <c r="AL49" i="1"/>
  <c r="N54" i="1"/>
  <c r="Z54" i="1"/>
  <c r="Z57" i="1" s="1"/>
  <c r="AL54" i="1"/>
  <c r="O48" i="1"/>
  <c r="AA49" i="1"/>
  <c r="AM54" i="1"/>
  <c r="O55" i="1"/>
  <c r="AA55" i="1"/>
  <c r="AM55" i="1"/>
  <c r="AM48" i="1"/>
  <c r="AM51" i="1" s="1"/>
  <c r="O54" i="1"/>
  <c r="P48" i="1"/>
  <c r="AB48" i="1"/>
  <c r="AN48" i="1"/>
  <c r="P49" i="1"/>
  <c r="AB49" i="1"/>
  <c r="AN49" i="1"/>
  <c r="P54" i="1"/>
  <c r="AB54" i="1"/>
  <c r="AB57" i="1" s="1"/>
  <c r="AN54" i="1"/>
  <c r="AN57" i="1" s="1"/>
  <c r="AA54" i="1"/>
  <c r="Q48" i="1"/>
  <c r="AC48" i="1"/>
  <c r="AO48" i="1"/>
  <c r="Q49" i="1"/>
  <c r="AC49" i="1"/>
  <c r="AO49" i="1"/>
  <c r="Q54" i="1"/>
  <c r="AC54" i="1"/>
  <c r="AO54" i="1"/>
  <c r="R48" i="1"/>
  <c r="AD48" i="1"/>
  <c r="AP48" i="1"/>
  <c r="R49" i="1"/>
  <c r="AD49" i="1"/>
  <c r="AP49" i="1"/>
  <c r="R54" i="1"/>
  <c r="AD54" i="1"/>
  <c r="AP54" i="1"/>
  <c r="AP57" i="1" s="1"/>
  <c r="S48" i="1"/>
  <c r="AE48" i="1"/>
  <c r="AQ48" i="1"/>
  <c r="S49" i="1"/>
  <c r="AE49" i="1"/>
  <c r="AQ49" i="1"/>
  <c r="S54" i="1"/>
  <c r="AE54" i="1"/>
  <c r="AE57" i="1" s="1"/>
  <c r="AQ54" i="1"/>
  <c r="AQ57" i="1" s="1"/>
  <c r="T48" i="1"/>
  <c r="AF48" i="1"/>
  <c r="T49" i="1"/>
  <c r="AF49" i="1"/>
  <c r="T54" i="1"/>
  <c r="T57" i="1" s="1"/>
  <c r="AF54" i="1"/>
  <c r="AF57" i="1" s="1"/>
  <c r="AK57" i="1" l="1"/>
  <c r="AO57" i="1"/>
  <c r="S57" i="1"/>
  <c r="K57" i="1"/>
  <c r="O57" i="1"/>
  <c r="I57" i="1"/>
  <c r="AC57" i="1"/>
  <c r="I51" i="1"/>
  <c r="AG57" i="1"/>
  <c r="AA57" i="1"/>
  <c r="Y57" i="1"/>
  <c r="AL57" i="1"/>
  <c r="R57" i="1"/>
  <c r="N57" i="1"/>
  <c r="Q57" i="1"/>
  <c r="L57" i="1"/>
  <c r="U57" i="1"/>
  <c r="W57" i="1"/>
  <c r="J57" i="1"/>
  <c r="X57" i="1"/>
  <c r="P57" i="1"/>
  <c r="AM57" i="1"/>
  <c r="M57" i="1"/>
  <c r="J51" i="1"/>
  <c r="AD57" i="1"/>
  <c r="K51" i="1"/>
  <c r="L51" i="1"/>
  <c r="M51" i="1"/>
  <c r="Q51" i="1"/>
  <c r="U51" i="1"/>
  <c r="AE51" i="1"/>
  <c r="AE59" i="1" s="1"/>
  <c r="AE60" i="1" s="1"/>
  <c r="AH51" i="1"/>
  <c r="T51" i="1"/>
  <c r="S51" i="1"/>
  <c r="AF51" i="1"/>
  <c r="AF59" i="1" s="1"/>
  <c r="AF60" i="1" s="1"/>
  <c r="W51" i="1"/>
  <c r="AB51" i="1"/>
  <c r="AJ51" i="1"/>
  <c r="AO51" i="1"/>
  <c r="AO59" i="1" s="1"/>
  <c r="AO60" i="1" s="1"/>
  <c r="X51" i="1"/>
  <c r="AD51" i="1"/>
  <c r="Z51" i="1"/>
  <c r="R51" i="1"/>
  <c r="N51" i="1"/>
  <c r="AG51" i="1"/>
  <c r="AQ51" i="1"/>
  <c r="AI51" i="1"/>
  <c r="AN51" i="1"/>
  <c r="AN59" i="1" s="1"/>
  <c r="AN60" i="1" s="1"/>
  <c r="AC51" i="1"/>
  <c r="AK51" i="1"/>
  <c r="Y51" i="1"/>
  <c r="AP51" i="1"/>
  <c r="AL51" i="1"/>
  <c r="AA51" i="1"/>
  <c r="V51" i="1"/>
  <c r="O51" i="1"/>
  <c r="P51" i="1"/>
  <c r="AM59" i="1"/>
  <c r="AM60" i="1" s="1"/>
  <c r="L59" i="1" l="1"/>
  <c r="L60" i="1" s="1"/>
  <c r="AI59" i="1"/>
  <c r="AI60" i="1" s="1"/>
  <c r="AA59" i="1"/>
  <c r="AA60" i="1" s="1"/>
  <c r="AH59" i="1"/>
  <c r="AH60" i="1" s="1"/>
  <c r="O59" i="1"/>
  <c r="O60" i="1" s="1"/>
  <c r="K59" i="1"/>
  <c r="K60" i="1" s="1"/>
  <c r="J59" i="1"/>
  <c r="J60" i="1" s="1"/>
  <c r="AG59" i="1"/>
  <c r="AG60" i="1" s="1"/>
  <c r="AB59" i="1"/>
  <c r="AB60" i="1" s="1"/>
  <c r="I59" i="1"/>
  <c r="I60" i="1" s="1"/>
  <c r="M59" i="1"/>
  <c r="M60" i="1" s="1"/>
  <c r="N59" i="1"/>
  <c r="N60" i="1" s="1"/>
  <c r="Y59" i="1"/>
  <c r="Y60" i="1" s="1"/>
  <c r="P59" i="1"/>
  <c r="P60" i="1" s="1"/>
  <c r="R59" i="1"/>
  <c r="R60" i="1" s="1"/>
  <c r="Q59" i="1"/>
  <c r="Q60" i="1" s="1"/>
  <c r="AC59" i="1"/>
  <c r="AC60" i="1" s="1"/>
  <c r="X59" i="1"/>
  <c r="X60" i="1" s="1"/>
  <c r="T59" i="1"/>
  <c r="T60" i="1" s="1"/>
  <c r="AL59" i="1"/>
  <c r="AL60" i="1" s="1"/>
  <c r="AJ59" i="1"/>
  <c r="AJ60" i="1" s="1"/>
  <c r="AK59" i="1"/>
  <c r="AK60" i="1" s="1"/>
  <c r="Z59" i="1"/>
  <c r="Z60" i="1" s="1"/>
  <c r="AP59" i="1"/>
  <c r="AP60" i="1" s="1"/>
  <c r="AD59" i="1"/>
  <c r="AD60" i="1" s="1"/>
  <c r="AQ59" i="1"/>
  <c r="AQ60" i="1" s="1"/>
  <c r="V59" i="1"/>
  <c r="V60" i="1" s="1"/>
  <c r="U59" i="1"/>
  <c r="U60" i="1" s="1"/>
  <c r="W59" i="1"/>
  <c r="W60" i="1" s="1"/>
  <c r="S59" i="1"/>
  <c r="S60" i="1" s="1"/>
</calcChain>
</file>

<file path=xl/sharedStrings.xml><?xml version="1.0" encoding="utf-8"?>
<sst xmlns="http://schemas.openxmlformats.org/spreadsheetml/2006/main" count="1515" uniqueCount="170">
  <si>
    <t>序号</t>
  </si>
  <si>
    <t>人事编号</t>
  </si>
  <si>
    <t>姓名</t>
  </si>
  <si>
    <t xml:space="preserve">EN </t>
  </si>
  <si>
    <t>Main Skill</t>
  </si>
  <si>
    <t>入职日期</t>
  </si>
  <si>
    <t>入项目时间</t>
  </si>
  <si>
    <t>VGZ00531</t>
  </si>
  <si>
    <t>黄铠伦</t>
  </si>
  <si>
    <t>Hoi</t>
  </si>
  <si>
    <t>SV</t>
  </si>
  <si>
    <t>VGZ00839</t>
  </si>
  <si>
    <t>吴宇君</t>
  </si>
  <si>
    <t>Alexia</t>
  </si>
  <si>
    <t>TL</t>
  </si>
  <si>
    <t>VGZ00571</t>
  </si>
  <si>
    <t>杨浩祥</t>
  </si>
  <si>
    <t>Harrison</t>
  </si>
  <si>
    <t>VGZ01536</t>
  </si>
  <si>
    <t>蒋志聪</t>
  </si>
  <si>
    <t>Steven</t>
  </si>
  <si>
    <t>T2</t>
  </si>
  <si>
    <t>VGZ00635</t>
  </si>
  <si>
    <t>李书蒙</t>
  </si>
  <si>
    <t>Steve</t>
  </si>
  <si>
    <t>VGZ13682</t>
  </si>
  <si>
    <t>凌键杨</t>
  </si>
  <si>
    <t>George</t>
  </si>
  <si>
    <t>VGZ02684</t>
  </si>
  <si>
    <t>何晓颖</t>
  </si>
  <si>
    <t>Winnie</t>
  </si>
  <si>
    <t>T3</t>
  </si>
  <si>
    <t>VGZ81040</t>
  </si>
  <si>
    <t>钟明毅</t>
  </si>
  <si>
    <t>Dagen</t>
  </si>
  <si>
    <t>Chat</t>
  </si>
  <si>
    <t>VGZ00257</t>
  </si>
  <si>
    <t>满俊茹</t>
  </si>
  <si>
    <t>Catherine</t>
  </si>
  <si>
    <t>VGZ02120</t>
  </si>
  <si>
    <t>苗磊</t>
  </si>
  <si>
    <t>Ronald</t>
  </si>
  <si>
    <t>VGZ02402</t>
  </si>
  <si>
    <t>赵博宇</t>
  </si>
  <si>
    <t>Boris</t>
  </si>
  <si>
    <t>VGZ02403</t>
  </si>
  <si>
    <t>马龙</t>
  </si>
  <si>
    <t>Vitto</t>
  </si>
  <si>
    <t>VGZ02443</t>
  </si>
  <si>
    <t>陆美玲</t>
  </si>
  <si>
    <t>Lynn</t>
  </si>
  <si>
    <t>VGZ02462</t>
  </si>
  <si>
    <t>梁建兴</t>
  </si>
  <si>
    <t>Jacky</t>
  </si>
  <si>
    <t>VGZ02503</t>
  </si>
  <si>
    <t>胡天琦</t>
  </si>
  <si>
    <t>TQ</t>
  </si>
  <si>
    <t>VGZ00575</t>
  </si>
  <si>
    <t>汤智锋</t>
  </si>
  <si>
    <t>Alan</t>
  </si>
  <si>
    <t>Call</t>
  </si>
  <si>
    <t>VGZ02565</t>
  </si>
  <si>
    <t>梁雨枫</t>
  </si>
  <si>
    <t>Dezzy</t>
  </si>
  <si>
    <t>VGZ02569</t>
  </si>
  <si>
    <t>许少锟</t>
  </si>
  <si>
    <t>Kevin X</t>
  </si>
  <si>
    <t>VGZ02619</t>
  </si>
  <si>
    <t>田子凡</t>
  </si>
  <si>
    <t>Laura</t>
  </si>
  <si>
    <t>VGZ02718</t>
  </si>
  <si>
    <t>罗俊杰</t>
  </si>
  <si>
    <t>Jun</t>
  </si>
  <si>
    <t>VGZ14159</t>
  </si>
  <si>
    <t>饶志铭</t>
  </si>
  <si>
    <t>Kira</t>
  </si>
  <si>
    <t>VGZ01889</t>
  </si>
  <si>
    <t>胡小晖</t>
  </si>
  <si>
    <t>Pyro</t>
  </si>
  <si>
    <t>VGZ10953</t>
  </si>
  <si>
    <t>彭俊锟</t>
  </si>
  <si>
    <t>Jim</t>
  </si>
  <si>
    <t>VGZ02449</t>
  </si>
  <si>
    <t>余泽标</t>
  </si>
  <si>
    <t>Charsan</t>
  </si>
  <si>
    <t>VGZ02401</t>
  </si>
  <si>
    <t>张承聪</t>
  </si>
  <si>
    <t>Patrick</t>
  </si>
  <si>
    <t>VGZ02447</t>
  </si>
  <si>
    <t>刘滨</t>
  </si>
  <si>
    <t>Ruby</t>
  </si>
  <si>
    <t>VGZ02445</t>
  </si>
  <si>
    <t>霍婧彤</t>
  </si>
  <si>
    <t>Hawks</t>
  </si>
  <si>
    <t>VGZ02570</t>
  </si>
  <si>
    <t>朱奕信</t>
  </si>
  <si>
    <t>Yison</t>
  </si>
  <si>
    <t>VGZ02655</t>
  </si>
  <si>
    <t>郑泳涛</t>
  </si>
  <si>
    <t>Jason</t>
  </si>
  <si>
    <t xml:space="preserve"> VGZ02654</t>
  </si>
  <si>
    <t>罗达尧</t>
  </si>
  <si>
    <t>Jenson</t>
  </si>
  <si>
    <t>VGZ02683</t>
  </si>
  <si>
    <t>王仁达</t>
  </si>
  <si>
    <t>Kevin W</t>
  </si>
  <si>
    <t>VGZ02689</t>
  </si>
  <si>
    <t>张逸翔</t>
  </si>
  <si>
    <t>Rachel</t>
  </si>
  <si>
    <t>VGZ02720</t>
  </si>
  <si>
    <t>黄思豪</t>
  </si>
  <si>
    <t>Trent</t>
  </si>
  <si>
    <t>VGZ00180</t>
  </si>
  <si>
    <t>史庭炜</t>
  </si>
  <si>
    <t>Stanley</t>
  </si>
  <si>
    <t xml:space="preserve">VGZ02742 </t>
  </si>
  <si>
    <t>康瀚允</t>
  </si>
  <si>
    <t>Henry</t>
  </si>
  <si>
    <t xml:space="preserve">VGZ02739  </t>
  </si>
  <si>
    <t>罗昕宸</t>
  </si>
  <si>
    <t>Eric</t>
  </si>
  <si>
    <t>VGZ00632</t>
  </si>
  <si>
    <t>黄晶</t>
  </si>
  <si>
    <t>Jing</t>
  </si>
  <si>
    <t>FR Call</t>
  </si>
  <si>
    <t>VGZ02685</t>
  </si>
  <si>
    <t>姚正麟</t>
  </si>
  <si>
    <t>Peter</t>
  </si>
  <si>
    <t>DTC</t>
  </si>
  <si>
    <t>A00</t>
    <phoneticPr fontId="13" type="noConversion"/>
  </si>
  <si>
    <t>OFF</t>
    <phoneticPr fontId="13" type="noConversion"/>
  </si>
  <si>
    <t>A21</t>
  </si>
  <si>
    <t>A21</t>
    <phoneticPr fontId="13" type="noConversion"/>
  </si>
  <si>
    <t>A00</t>
  </si>
  <si>
    <t>A06</t>
    <phoneticPr fontId="13" type="noConversion"/>
  </si>
  <si>
    <t>A06</t>
  </si>
  <si>
    <t>A23</t>
    <phoneticPr fontId="13" type="noConversion"/>
  </si>
  <si>
    <t>A22</t>
    <phoneticPr fontId="13" type="noConversion"/>
  </si>
  <si>
    <t>A22</t>
  </si>
  <si>
    <t>SV</t>
    <phoneticPr fontId="13" type="noConversion"/>
  </si>
  <si>
    <t>TL</t>
    <phoneticPr fontId="13" type="noConversion"/>
  </si>
  <si>
    <t>T2</t>
    <phoneticPr fontId="13" type="noConversion"/>
  </si>
  <si>
    <t>A21 Call</t>
    <phoneticPr fontId="13" type="noConversion"/>
  </si>
  <si>
    <t>A22 Call</t>
    <phoneticPr fontId="13" type="noConversion"/>
  </si>
  <si>
    <t>A23 Call</t>
    <phoneticPr fontId="13" type="noConversion"/>
  </si>
  <si>
    <t>A00 Call</t>
    <phoneticPr fontId="13" type="noConversion"/>
  </si>
  <si>
    <t>Totall Call</t>
    <phoneticPr fontId="13" type="noConversion"/>
  </si>
  <si>
    <t>A21 Chat</t>
    <phoneticPr fontId="13" type="noConversion"/>
  </si>
  <si>
    <t>A22 Chat</t>
    <phoneticPr fontId="13" type="noConversion"/>
  </si>
  <si>
    <t>A00 Chat</t>
    <phoneticPr fontId="13" type="noConversion"/>
  </si>
  <si>
    <t>Total Chat</t>
    <phoneticPr fontId="13" type="noConversion"/>
  </si>
  <si>
    <t>Total on Duty Agent</t>
    <phoneticPr fontId="13" type="noConversion"/>
  </si>
  <si>
    <t>Total HeadCount</t>
    <phoneticPr fontId="13" type="noConversion"/>
  </si>
  <si>
    <t>A01 Call</t>
    <phoneticPr fontId="14" type="noConversion"/>
  </si>
  <si>
    <t>A01 Chat</t>
  </si>
  <si>
    <t>A01</t>
  </si>
  <si>
    <t>A01</t>
    <phoneticPr fontId="14" type="noConversion"/>
  </si>
  <si>
    <t>A21</t>
    <phoneticPr fontId="14" type="noConversion"/>
  </si>
  <si>
    <t>年假</t>
    <phoneticPr fontId="14" type="noConversion"/>
  </si>
  <si>
    <t>OFF</t>
    <phoneticPr fontId="14" type="noConversion"/>
  </si>
  <si>
    <t>Chat</t>
    <phoneticPr fontId="14" type="noConversion"/>
  </si>
  <si>
    <t>A23</t>
  </si>
  <si>
    <t>A01</t>
    <phoneticPr fontId="14" type="noConversion"/>
  </si>
  <si>
    <t>A23</t>
    <phoneticPr fontId="14" type="noConversion"/>
  </si>
  <si>
    <t>调休</t>
    <phoneticPr fontId="14" type="noConversion"/>
  </si>
  <si>
    <t>事假</t>
    <phoneticPr fontId="14" type="noConversion"/>
  </si>
  <si>
    <t>调休</t>
    <phoneticPr fontId="13" type="noConversion"/>
  </si>
  <si>
    <t>调休</t>
    <phoneticPr fontId="14" type="noConversion"/>
  </si>
  <si>
    <t>A01</t>
    <phoneticPr fontId="13" type="noConversion"/>
  </si>
  <si>
    <t>黑五促销（促销期间非必要调休及请假一律不批）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</si>
</sst>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76" formatCode="d"/>
    <numFmt numFmtId="177" formatCode="General_)"/>
    <numFmt numFmtId="178" formatCode="[$-804]aaa;@"/>
  </numFmts>
  <fonts count="2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2"/>
      <name val="宋体"/>
      <charset val="134"/>
    </font>
    <font>
      <sz val="12"/>
      <name val="宋体"/>
      <family val="3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11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rgb="FF000000"/>
      <name val="宋体"/>
      <family val="3"/>
      <charset val="134"/>
    </font>
    <font>
      <sz val="12"/>
      <name val="新細明體"/>
      <family val="1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2"/>
      <name val="Arial"/>
      <family val="2"/>
    </font>
    <font>
      <sz val="10"/>
      <color rgb="FF000000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color rgb="FFFF0000"/>
      <name val="微软雅黑"/>
      <family val="2"/>
      <charset val="134"/>
    </font>
    <font>
      <b/>
      <sz val="20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sz val="8"/>
      <color rgb="FFFF0000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7070223090304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1">
    <xf numFmtId="0" fontId="0" fillId="0" borderId="0"/>
    <xf numFmtId="178" fontId="3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8" fillId="0" borderId="0">
      <alignment vertical="center"/>
    </xf>
    <xf numFmtId="178" fontId="10" fillId="0" borderId="0">
      <protection locked="0"/>
    </xf>
    <xf numFmtId="178" fontId="9" fillId="0" borderId="0">
      <alignment vertical="center"/>
    </xf>
    <xf numFmtId="178" fontId="9" fillId="0" borderId="0">
      <alignment vertical="center"/>
    </xf>
    <xf numFmtId="178" fontId="11" fillId="0" borderId="0">
      <protection locked="0"/>
    </xf>
    <xf numFmtId="178" fontId="10" fillId="0" borderId="0">
      <protection locked="0"/>
    </xf>
    <xf numFmtId="178" fontId="9" fillId="0" borderId="0"/>
    <xf numFmtId="178" fontId="7" fillId="0" borderId="0">
      <alignment vertical="center"/>
    </xf>
    <xf numFmtId="178" fontId="12" fillId="0" borderId="0">
      <alignment vertical="center"/>
    </xf>
    <xf numFmtId="178" fontId="9" fillId="0" borderId="0"/>
    <xf numFmtId="178" fontId="7" fillId="0" borderId="0">
      <alignment vertical="center"/>
    </xf>
    <xf numFmtId="178" fontId="7" fillId="0" borderId="0">
      <alignment vertical="center"/>
    </xf>
    <xf numFmtId="178" fontId="7" fillId="0" borderId="0">
      <alignment vertical="center"/>
    </xf>
    <xf numFmtId="178" fontId="4" fillId="0" borderId="0"/>
    <xf numFmtId="41" fontId="4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178" fontId="2" fillId="0" borderId="0">
      <alignment vertical="center"/>
    </xf>
    <xf numFmtId="178" fontId="4" fillId="0" borderId="0"/>
    <xf numFmtId="41" fontId="4" fillId="0" borderId="0" applyFont="0" applyFill="0" applyBorder="0" applyAlignment="0" applyProtection="0"/>
    <xf numFmtId="178" fontId="1" fillId="0" borderId="0"/>
    <xf numFmtId="177" fontId="4" fillId="0" borderId="0">
      <alignment vertical="center"/>
    </xf>
    <xf numFmtId="178" fontId="15" fillId="0" borderId="0" applyNumberFormat="0" applyFill="0" applyBorder="0" applyAlignment="0" applyProtection="0"/>
    <xf numFmtId="177" fontId="4" fillId="0" borderId="0">
      <alignment vertical="center"/>
    </xf>
    <xf numFmtId="177" fontId="16" fillId="0" borderId="0"/>
    <xf numFmtId="178" fontId="2" fillId="0" borderId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78" fontId="7" fillId="0" borderId="0">
      <alignment vertical="center"/>
    </xf>
    <xf numFmtId="178" fontId="9" fillId="0" borderId="0">
      <alignment vertical="center"/>
    </xf>
    <xf numFmtId="178" fontId="17" fillId="0" borderId="0"/>
    <xf numFmtId="178" fontId="9" fillId="0" borderId="0">
      <alignment vertical="center"/>
    </xf>
    <xf numFmtId="178" fontId="9" fillId="0" borderId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78" fontId="9" fillId="0" borderId="0"/>
  </cellStyleXfs>
  <cellXfs count="38">
    <xf numFmtId="0" fontId="0" fillId="0" borderId="0" xfId="0"/>
    <xf numFmtId="178" fontId="5" fillId="0" borderId="1" xfId="1" applyNumberFormat="1" applyFont="1" applyBorder="1" applyAlignment="1">
      <alignment horizontal="center" vertical="center" wrapText="1"/>
    </xf>
    <xf numFmtId="178" fontId="18" fillId="0" borderId="1" xfId="1" applyNumberFormat="1" applyFont="1" applyBorder="1" applyAlignment="1">
      <alignment horizontal="center" vertical="center"/>
    </xf>
    <xf numFmtId="178" fontId="5" fillId="0" borderId="1" xfId="1" applyFont="1" applyBorder="1" applyAlignment="1">
      <alignment horizontal="center" vertical="center"/>
    </xf>
    <xf numFmtId="14" fontId="5" fillId="0" borderId="1" xfId="11" applyNumberFormat="1" applyFont="1" applyBorder="1" applyAlignment="1">
      <alignment horizontal="center" vertical="center"/>
    </xf>
    <xf numFmtId="14" fontId="5" fillId="0" borderId="1" xfId="40" applyNumberFormat="1" applyFont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176" fontId="19" fillId="0" borderId="1" xfId="0" applyNumberFormat="1" applyFont="1" applyFill="1" applyBorder="1" applyAlignment="1">
      <alignment horizontal="center" vertical="center" wrapText="1"/>
    </xf>
    <xf numFmtId="176" fontId="19" fillId="2" borderId="1" xfId="0" applyNumberFormat="1" applyFont="1" applyFill="1" applyBorder="1" applyAlignment="1">
      <alignment horizontal="center" vertical="center" wrapText="1"/>
    </xf>
    <xf numFmtId="0" fontId="5" fillId="0" borderId="1" xfId="1" applyNumberFormat="1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49" fontId="5" fillId="0" borderId="0" xfId="0" applyNumberFormat="1" applyFont="1"/>
    <xf numFmtId="14" fontId="5" fillId="0" borderId="0" xfId="0" applyNumberFormat="1" applyFont="1"/>
    <xf numFmtId="0" fontId="5" fillId="0" borderId="0" xfId="0" applyFont="1"/>
    <xf numFmtId="14" fontId="5" fillId="5" borderId="0" xfId="0" applyNumberFormat="1" applyFont="1" applyFill="1" applyAlignment="1"/>
    <xf numFmtId="49" fontId="5" fillId="0" borderId="0" xfId="0" applyNumberFormat="1" applyFont="1" applyAlignment="1">
      <alignment horizontal="center"/>
    </xf>
    <xf numFmtId="0" fontId="5" fillId="5" borderId="0" xfId="0" applyFont="1" applyFill="1"/>
    <xf numFmtId="14" fontId="5" fillId="5" borderId="0" xfId="0" applyNumberFormat="1" applyFont="1" applyFill="1"/>
    <xf numFmtId="0" fontId="5" fillId="5" borderId="0" xfId="0" applyFont="1" applyFill="1" applyAlignment="1"/>
    <xf numFmtId="14" fontId="5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176" fontId="5" fillId="0" borderId="3" xfId="0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0" fillId="7" borderId="0" xfId="0" applyFill="1"/>
    <xf numFmtId="0" fontId="23" fillId="0" borderId="0" xfId="0" applyFont="1"/>
    <xf numFmtId="0" fontId="23" fillId="7" borderId="0" xfId="0" applyFont="1" applyFill="1"/>
    <xf numFmtId="0" fontId="20" fillId="6" borderId="2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41" fontId="6" fillId="0" borderId="0" xfId="2" applyFont="1" applyFill="1" applyBorder="1" applyAlignment="1">
      <alignment horizontal="left" vertical="center"/>
    </xf>
    <xf numFmtId="178" fontId="5" fillId="4" borderId="1" xfId="1" applyFont="1" applyFill="1" applyBorder="1" applyAlignment="1">
      <alignment horizontal="center" vertical="center" wrapText="1"/>
    </xf>
    <xf numFmtId="14" fontId="5" fillId="4" borderId="1" xfId="1" applyNumberFormat="1" applyFont="1" applyFill="1" applyBorder="1" applyAlignment="1">
      <alignment horizontal="center" vertical="center" wrapText="1"/>
    </xf>
    <xf numFmtId="14" fontId="5" fillId="3" borderId="1" xfId="1" applyNumberFormat="1" applyFont="1" applyFill="1" applyBorder="1" applyAlignment="1">
      <alignment horizontal="center" vertical="center" wrapText="1"/>
    </xf>
  </cellXfs>
  <cellStyles count="41">
    <cellStyle name="Comma [0] 2" xfId="23" xr:uid="{00000000-0005-0000-0000-000000000000}"/>
    <cellStyle name="Comma [0] 3" xfId="30" xr:uid="{00000000-0005-0000-0000-000001000000}"/>
    <cellStyle name="Comma [0] 4" xfId="31" xr:uid="{00000000-0005-0000-0000-000002000000}"/>
    <cellStyle name="Comma [0] 5" xfId="37" xr:uid="{00000000-0005-0000-0000-000003000000}"/>
    <cellStyle name="Comma [0] 6" xfId="38" xr:uid="{00000000-0005-0000-0000-000004000000}"/>
    <cellStyle name="Comma [0] 7" xfId="39" xr:uid="{00000000-0005-0000-0000-000005000000}"/>
    <cellStyle name="Hyperlink 2" xfId="26" xr:uid="{00000000-0005-0000-0000-000006000000}"/>
    <cellStyle name="Normal 2" xfId="21" xr:uid="{00000000-0005-0000-0000-000007000000}"/>
    <cellStyle name="Normal 3" xfId="22" xr:uid="{00000000-0005-0000-0000-000008000000}"/>
    <cellStyle name="Normal 4" xfId="24" xr:uid="{00000000-0005-0000-0000-000009000000}"/>
    <cellStyle name="Normal 5" xfId="32" xr:uid="{00000000-0005-0000-0000-00000A000000}"/>
    <cellStyle name="Normal 6" xfId="33" xr:uid="{00000000-0005-0000-0000-00000B000000}"/>
    <cellStyle name="百分比 2" xfId="4" xr:uid="{00000000-0005-0000-0000-00000D000000}"/>
    <cellStyle name="百分比 2 2" xfId="20" xr:uid="{00000000-0005-0000-0000-00000E000000}"/>
    <cellStyle name="百分比 3" xfId="3" xr:uid="{00000000-0005-0000-0000-00003B000000}"/>
    <cellStyle name="常规" xfId="0" builtinId="0"/>
    <cellStyle name="常规 15" xfId="28" xr:uid="{00000000-0005-0000-0000-000010000000}"/>
    <cellStyle name="常规 2" xfId="13" xr:uid="{00000000-0005-0000-0000-000011000000}"/>
    <cellStyle name="常规 2 10" xfId="25" xr:uid="{00000000-0005-0000-0000-000012000000}"/>
    <cellStyle name="常规 2 10 17" xfId="27" xr:uid="{00000000-0005-0000-0000-000013000000}"/>
    <cellStyle name="常规 2 2" xfId="11" xr:uid="{00000000-0005-0000-0000-000014000000}"/>
    <cellStyle name="常规 2 2 2" xfId="40" xr:uid="{00000000-0005-0000-0000-000015000000}"/>
    <cellStyle name="常规 2 3" xfId="12" xr:uid="{00000000-0005-0000-0000-000016000000}"/>
    <cellStyle name="常规 2 4" xfId="36" xr:uid="{00000000-0005-0000-0000-000017000000}"/>
    <cellStyle name="常规 3" xfId="14" xr:uid="{00000000-0005-0000-0000-000018000000}"/>
    <cellStyle name="常规 3 2" xfId="29" xr:uid="{00000000-0005-0000-0000-000019000000}"/>
    <cellStyle name="常规 3 22 2" xfId="7" xr:uid="{00000000-0005-0000-0000-00001A000000}"/>
    <cellStyle name="常规 3 3" xfId="34" xr:uid="{00000000-0005-0000-0000-00001B000000}"/>
    <cellStyle name="常规 3 4" xfId="35" xr:uid="{00000000-0005-0000-0000-00001C000000}"/>
    <cellStyle name="常规 4" xfId="15" xr:uid="{00000000-0005-0000-0000-00001D000000}"/>
    <cellStyle name="常规 5" xfId="16" xr:uid="{00000000-0005-0000-0000-00001E000000}"/>
    <cellStyle name="常规 5 2" xfId="5" xr:uid="{00000000-0005-0000-0000-00001F000000}"/>
    <cellStyle name="常规 5 3" xfId="8" xr:uid="{00000000-0005-0000-0000-000020000000}"/>
    <cellStyle name="常规 5 4" xfId="17" xr:uid="{00000000-0005-0000-0000-000021000000}"/>
    <cellStyle name="常规 6" xfId="18" xr:uid="{00000000-0005-0000-0000-000022000000}"/>
    <cellStyle name="常规 7" xfId="1" xr:uid="{00000000-0005-0000-0000-00003E000000}"/>
    <cellStyle name="千位分隔[0] 2" xfId="19" xr:uid="{00000000-0005-0000-0000-000024000000}"/>
    <cellStyle name="千位分隔[0] 3" xfId="2" xr:uid="{00000000-0005-0000-0000-000052000000}"/>
    <cellStyle name="一般 3 2" xfId="6" xr:uid="{00000000-0005-0000-0000-000025000000}"/>
    <cellStyle name="一般 3 2 2" xfId="10" xr:uid="{00000000-0005-0000-0000-000026000000}"/>
    <cellStyle name="一般_Seednet2007-01月班表" xfId="9" xr:uid="{00000000-0005-0000-0000-000027000000}"/>
  </cellStyles>
  <dxfs count="24"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theme="6" tint="0.59996337778862885"/>
        </patternFill>
      </fill>
    </dxf>
    <dxf>
      <fill>
        <patternFill>
          <bgColor rgb="FFFF66FF"/>
        </patternFill>
      </fill>
    </dxf>
  </dxfs>
  <tableStyles count="0" defaultTableStyle="TableStyleMedium2" defaultPivotStyle="PivotStyleLight16"/>
  <colors>
    <mruColors>
      <color rgb="FFFF7C80"/>
      <color rgb="FF66FFFF"/>
      <color rgb="FF01D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0"/>
  <sheetViews>
    <sheetView tabSelected="1" zoomScaleNormal="100" workbookViewId="0">
      <pane xSplit="4" ySplit="3" topLeftCell="X4" activePane="bottomRight" state="frozen"/>
      <selection pane="topRight" activeCell="E1" sqref="E1"/>
      <selection pane="bottomLeft" activeCell="A4" sqref="A4"/>
      <selection pane="bottomRight" activeCell="AK11" sqref="AK11"/>
    </sheetView>
  </sheetViews>
  <sheetFormatPr defaultRowHeight="14.25" x14ac:dyDescent="0.2"/>
  <sheetData>
    <row r="1" spans="1:44" ht="39.950000000000003" customHeight="1" x14ac:dyDescent="0.2">
      <c r="A1" s="34"/>
      <c r="B1" s="34"/>
      <c r="C1" s="34"/>
      <c r="D1" s="34"/>
      <c r="E1" s="34"/>
      <c r="F1" s="34"/>
      <c r="G1" s="34"/>
      <c r="AF1" s="31" t="s">
        <v>169</v>
      </c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21"/>
    </row>
    <row r="2" spans="1:44" x14ac:dyDescent="0.2">
      <c r="A2" s="35" t="s">
        <v>0</v>
      </c>
      <c r="B2" s="35" t="s">
        <v>1</v>
      </c>
      <c r="C2" s="35" t="s">
        <v>2</v>
      </c>
      <c r="D2" s="35" t="s">
        <v>3</v>
      </c>
      <c r="E2" s="35" t="s">
        <v>4</v>
      </c>
      <c r="F2" s="36" t="s">
        <v>5</v>
      </c>
      <c r="G2" s="37" t="s">
        <v>6</v>
      </c>
      <c r="H2" s="6" t="str">
        <f>TEXT(H3, "aaaa")</f>
        <v>星期一</v>
      </c>
      <c r="I2" s="6" t="str">
        <f t="shared" ref="I2:N2" si="0">TEXT(I3, "aaaa")</f>
        <v>星期二</v>
      </c>
      <c r="J2" s="6" t="str">
        <f t="shared" si="0"/>
        <v>星期三</v>
      </c>
      <c r="K2" s="6" t="str">
        <f t="shared" si="0"/>
        <v>星期四</v>
      </c>
      <c r="L2" s="6" t="str">
        <f t="shared" si="0"/>
        <v>星期五</v>
      </c>
      <c r="M2" s="8" t="str">
        <f t="shared" si="0"/>
        <v>星期六</v>
      </c>
      <c r="N2" s="6" t="str">
        <f t="shared" si="0"/>
        <v>星期日</v>
      </c>
      <c r="O2" s="6" t="str">
        <f t="shared" ref="O2:AQ2" si="1">TEXT(O3, "aaaa")</f>
        <v>星期一</v>
      </c>
      <c r="P2" s="6" t="str">
        <f t="shared" si="1"/>
        <v>星期二</v>
      </c>
      <c r="Q2" s="6" t="str">
        <f t="shared" si="1"/>
        <v>星期三</v>
      </c>
      <c r="R2" s="6" t="str">
        <f t="shared" si="1"/>
        <v>星期四</v>
      </c>
      <c r="S2" s="6" t="str">
        <f t="shared" si="1"/>
        <v>星期五</v>
      </c>
      <c r="T2" s="8" t="str">
        <f t="shared" si="1"/>
        <v>星期六</v>
      </c>
      <c r="U2" s="8" t="str">
        <f t="shared" si="1"/>
        <v>星期日</v>
      </c>
      <c r="V2" s="6" t="str">
        <f t="shared" si="1"/>
        <v>星期一</v>
      </c>
      <c r="W2" s="6" t="str">
        <f t="shared" si="1"/>
        <v>星期二</v>
      </c>
      <c r="X2" s="6" t="str">
        <f t="shared" si="1"/>
        <v>星期三</v>
      </c>
      <c r="Y2" s="6" t="str">
        <f t="shared" si="1"/>
        <v>星期四</v>
      </c>
      <c r="Z2" s="6" t="str">
        <f t="shared" si="1"/>
        <v>星期五</v>
      </c>
      <c r="AA2" s="8" t="str">
        <f t="shared" si="1"/>
        <v>星期六</v>
      </c>
      <c r="AB2" s="8" t="str">
        <f t="shared" si="1"/>
        <v>星期日</v>
      </c>
      <c r="AC2" s="6" t="str">
        <f t="shared" si="1"/>
        <v>星期一</v>
      </c>
      <c r="AD2" s="6" t="str">
        <f t="shared" si="1"/>
        <v>星期二</v>
      </c>
      <c r="AE2" s="6" t="str">
        <f t="shared" si="1"/>
        <v>星期三</v>
      </c>
      <c r="AF2" s="6" t="str">
        <f t="shared" si="1"/>
        <v>星期四</v>
      </c>
      <c r="AG2" s="6" t="str">
        <f t="shared" si="1"/>
        <v>星期五</v>
      </c>
      <c r="AH2" s="8" t="str">
        <f t="shared" si="1"/>
        <v>星期六</v>
      </c>
      <c r="AI2" s="8" t="str">
        <f t="shared" si="1"/>
        <v>星期日</v>
      </c>
      <c r="AJ2" s="6" t="str">
        <f t="shared" si="1"/>
        <v>星期一</v>
      </c>
      <c r="AK2" s="6" t="str">
        <f t="shared" si="1"/>
        <v>星期二</v>
      </c>
      <c r="AL2" s="6" t="str">
        <f t="shared" si="1"/>
        <v>星期三</v>
      </c>
      <c r="AM2" s="6" t="str">
        <f t="shared" si="1"/>
        <v>星期四</v>
      </c>
      <c r="AN2" s="6" t="str">
        <f t="shared" si="1"/>
        <v>星期五</v>
      </c>
      <c r="AO2" s="8" t="str">
        <f t="shared" si="1"/>
        <v>星期六</v>
      </c>
      <c r="AP2" s="8" t="str">
        <f t="shared" si="1"/>
        <v>星期日</v>
      </c>
      <c r="AQ2" s="22" t="str">
        <f t="shared" si="1"/>
        <v>星期一</v>
      </c>
      <c r="AR2" s="32" t="s">
        <v>159</v>
      </c>
    </row>
    <row r="3" spans="1:44" x14ac:dyDescent="0.2">
      <c r="A3" s="35"/>
      <c r="B3" s="35"/>
      <c r="C3" s="35"/>
      <c r="D3" s="35"/>
      <c r="E3" s="35"/>
      <c r="F3" s="36"/>
      <c r="G3" s="37"/>
      <c r="H3" s="6">
        <v>46321</v>
      </c>
      <c r="I3" s="6">
        <v>46322</v>
      </c>
      <c r="J3" s="6">
        <v>46323</v>
      </c>
      <c r="K3" s="6">
        <v>46324</v>
      </c>
      <c r="L3" s="6">
        <v>46325</v>
      </c>
      <c r="M3" s="9">
        <v>46326</v>
      </c>
      <c r="N3" s="6">
        <v>46327</v>
      </c>
      <c r="O3" s="6">
        <v>46328</v>
      </c>
      <c r="P3" s="6">
        <v>46329</v>
      </c>
      <c r="Q3" s="6">
        <v>46330</v>
      </c>
      <c r="R3" s="6">
        <v>46331</v>
      </c>
      <c r="S3" s="7">
        <v>46332</v>
      </c>
      <c r="T3" s="8">
        <v>46333</v>
      </c>
      <c r="U3" s="8">
        <v>46334</v>
      </c>
      <c r="V3" s="6">
        <v>46335</v>
      </c>
      <c r="W3" s="6">
        <v>46336</v>
      </c>
      <c r="X3" s="6">
        <v>46337</v>
      </c>
      <c r="Y3" s="7">
        <v>46338</v>
      </c>
      <c r="Z3" s="6">
        <v>46339</v>
      </c>
      <c r="AA3" s="8">
        <v>46340</v>
      </c>
      <c r="AB3" s="8">
        <v>46341</v>
      </c>
      <c r="AC3" s="6">
        <v>46342</v>
      </c>
      <c r="AD3" s="6">
        <v>46343</v>
      </c>
      <c r="AE3" s="7">
        <v>46344</v>
      </c>
      <c r="AF3" s="6">
        <v>46345</v>
      </c>
      <c r="AG3" s="6">
        <v>46346</v>
      </c>
      <c r="AH3" s="8">
        <v>46347</v>
      </c>
      <c r="AI3" s="8">
        <v>46348</v>
      </c>
      <c r="AJ3" s="6">
        <v>46349</v>
      </c>
      <c r="AK3" s="7">
        <v>46350</v>
      </c>
      <c r="AL3" s="6">
        <v>46351</v>
      </c>
      <c r="AM3" s="6">
        <v>46352</v>
      </c>
      <c r="AN3" s="6">
        <v>46353</v>
      </c>
      <c r="AO3" s="8">
        <v>46354</v>
      </c>
      <c r="AP3" s="8">
        <v>46355</v>
      </c>
      <c r="AQ3" s="22">
        <v>46356</v>
      </c>
      <c r="AR3" s="33"/>
    </row>
    <row r="4" spans="1:44" x14ac:dyDescent="0.2">
      <c r="A4" s="10">
        <v>1</v>
      </c>
      <c r="B4" s="1" t="s">
        <v>7</v>
      </c>
      <c r="C4" s="2" t="s">
        <v>8</v>
      </c>
      <c r="D4" s="3" t="s">
        <v>9</v>
      </c>
      <c r="E4" s="3" t="s">
        <v>10</v>
      </c>
      <c r="F4" s="4">
        <v>45393</v>
      </c>
      <c r="G4" s="4">
        <v>45393</v>
      </c>
      <c r="H4" s="23" t="s">
        <v>129</v>
      </c>
      <c r="I4" s="23" t="s">
        <v>129</v>
      </c>
      <c r="J4" s="23" t="s">
        <v>166</v>
      </c>
      <c r="K4" s="23" t="s">
        <v>132</v>
      </c>
      <c r="L4" s="23" t="s">
        <v>166</v>
      </c>
      <c r="M4" s="23" t="s">
        <v>130</v>
      </c>
      <c r="N4" s="23" t="s">
        <v>130</v>
      </c>
      <c r="O4" s="23" t="s">
        <v>156</v>
      </c>
      <c r="P4" s="23" t="s">
        <v>156</v>
      </c>
      <c r="Q4" s="23" t="s">
        <v>156</v>
      </c>
      <c r="R4" s="23" t="s">
        <v>166</v>
      </c>
      <c r="S4" s="23" t="s">
        <v>166</v>
      </c>
      <c r="T4" s="24" t="s">
        <v>130</v>
      </c>
      <c r="U4" s="24" t="s">
        <v>130</v>
      </c>
      <c r="V4" s="23" t="s">
        <v>155</v>
      </c>
      <c r="W4" s="23" t="s">
        <v>155</v>
      </c>
      <c r="X4" s="23" t="s">
        <v>155</v>
      </c>
      <c r="Y4" s="23" t="s">
        <v>166</v>
      </c>
      <c r="Z4" s="23" t="s">
        <v>166</v>
      </c>
      <c r="AA4" s="24" t="s">
        <v>130</v>
      </c>
      <c r="AB4" s="24" t="s">
        <v>130</v>
      </c>
      <c r="AC4" s="23" t="s">
        <v>155</v>
      </c>
      <c r="AD4" s="23" t="s">
        <v>155</v>
      </c>
      <c r="AE4" s="23" t="s">
        <v>155</v>
      </c>
      <c r="AF4" s="23" t="s">
        <v>166</v>
      </c>
      <c r="AG4" s="23" t="s">
        <v>166</v>
      </c>
      <c r="AH4" s="24" t="s">
        <v>130</v>
      </c>
      <c r="AI4" s="24" t="s">
        <v>130</v>
      </c>
      <c r="AJ4" s="23" t="s">
        <v>155</v>
      </c>
      <c r="AK4" s="23" t="s">
        <v>155</v>
      </c>
      <c r="AL4" s="23" t="s">
        <v>155</v>
      </c>
      <c r="AM4" s="23" t="s">
        <v>166</v>
      </c>
      <c r="AN4" s="24" t="s">
        <v>130</v>
      </c>
      <c r="AO4" s="24" t="s">
        <v>130</v>
      </c>
      <c r="AP4" s="24" t="s">
        <v>168</v>
      </c>
      <c r="AQ4" s="23" t="s">
        <v>155</v>
      </c>
      <c r="AR4" s="23">
        <f>COUNTIF(N4:AQ4,"OFF")</f>
        <v>9</v>
      </c>
    </row>
    <row r="5" spans="1:44" x14ac:dyDescent="0.2">
      <c r="A5" s="10">
        <v>1</v>
      </c>
      <c r="B5" s="1" t="s">
        <v>11</v>
      </c>
      <c r="C5" s="2" t="s">
        <v>12</v>
      </c>
      <c r="D5" s="3" t="s">
        <v>13</v>
      </c>
      <c r="E5" s="3" t="s">
        <v>14</v>
      </c>
      <c r="F5" s="4">
        <v>45488</v>
      </c>
      <c r="G5" s="4">
        <v>45488</v>
      </c>
      <c r="H5" s="23" t="s">
        <v>129</v>
      </c>
      <c r="I5" s="23" t="s">
        <v>129</v>
      </c>
      <c r="J5" s="23" t="s">
        <v>129</v>
      </c>
      <c r="K5" s="23" t="s">
        <v>129</v>
      </c>
      <c r="L5" s="23" t="s">
        <v>130</v>
      </c>
      <c r="M5" s="23" t="s">
        <v>130</v>
      </c>
      <c r="N5" s="23" t="s">
        <v>156</v>
      </c>
      <c r="O5" s="23" t="s">
        <v>156</v>
      </c>
      <c r="P5" s="23" t="s">
        <v>156</v>
      </c>
      <c r="Q5" s="23" t="s">
        <v>156</v>
      </c>
      <c r="R5" s="24" t="s">
        <v>130</v>
      </c>
      <c r="S5" s="24" t="s">
        <v>130</v>
      </c>
      <c r="T5" s="23" t="s">
        <v>156</v>
      </c>
      <c r="U5" s="23" t="s">
        <v>156</v>
      </c>
      <c r="V5" s="23" t="s">
        <v>156</v>
      </c>
      <c r="W5" s="23" t="s">
        <v>156</v>
      </c>
      <c r="X5" s="23" t="s">
        <v>156</v>
      </c>
      <c r="Y5" s="24" t="s">
        <v>130</v>
      </c>
      <c r="Z5" s="24" t="s">
        <v>130</v>
      </c>
      <c r="AA5" s="23" t="s">
        <v>155</v>
      </c>
      <c r="AB5" s="23" t="s">
        <v>155</v>
      </c>
      <c r="AC5" s="23" t="s">
        <v>155</v>
      </c>
      <c r="AD5" s="23" t="s">
        <v>155</v>
      </c>
      <c r="AE5" s="23" t="s">
        <v>155</v>
      </c>
      <c r="AF5" s="24" t="s">
        <v>130</v>
      </c>
      <c r="AG5" s="24" t="s">
        <v>130</v>
      </c>
      <c r="AH5" s="23" t="s">
        <v>155</v>
      </c>
      <c r="AI5" s="23" t="s">
        <v>155</v>
      </c>
      <c r="AJ5" s="23" t="s">
        <v>155</v>
      </c>
      <c r="AK5" s="23" t="s">
        <v>155</v>
      </c>
      <c r="AL5" s="23" t="s">
        <v>155</v>
      </c>
      <c r="AM5" s="24" t="s">
        <v>130</v>
      </c>
      <c r="AN5" s="24" t="s">
        <v>130</v>
      </c>
      <c r="AO5" s="23" t="s">
        <v>155</v>
      </c>
      <c r="AP5" s="23" t="s">
        <v>155</v>
      </c>
      <c r="AQ5" s="23" t="s">
        <v>155</v>
      </c>
      <c r="AR5" s="23">
        <f t="shared" ref="AR5:AR41" si="2">COUNTIF(N5:AQ5,"OFF")</f>
        <v>8</v>
      </c>
    </row>
    <row r="6" spans="1:44" x14ac:dyDescent="0.2">
      <c r="A6" s="10">
        <v>1</v>
      </c>
      <c r="B6" s="1" t="s">
        <v>15</v>
      </c>
      <c r="C6" s="2" t="s">
        <v>16</v>
      </c>
      <c r="D6" s="3" t="s">
        <v>17</v>
      </c>
      <c r="E6" s="3" t="s">
        <v>14</v>
      </c>
      <c r="F6" s="4">
        <v>45418</v>
      </c>
      <c r="G6" s="4">
        <v>45418</v>
      </c>
      <c r="H6" s="23" t="s">
        <v>131</v>
      </c>
      <c r="I6" s="23" t="s">
        <v>167</v>
      </c>
      <c r="J6" s="23" t="s">
        <v>130</v>
      </c>
      <c r="K6" s="23" t="s">
        <v>130</v>
      </c>
      <c r="L6" s="23" t="s">
        <v>131</v>
      </c>
      <c r="M6" s="23" t="s">
        <v>131</v>
      </c>
      <c r="N6" s="23" t="s">
        <v>157</v>
      </c>
      <c r="O6" s="23" t="s">
        <v>157</v>
      </c>
      <c r="P6" s="23" t="s">
        <v>157</v>
      </c>
      <c r="Q6" s="24" t="s">
        <v>130</v>
      </c>
      <c r="R6" s="24" t="s">
        <v>130</v>
      </c>
      <c r="S6" s="23" t="s">
        <v>157</v>
      </c>
      <c r="T6" s="23" t="s">
        <v>157</v>
      </c>
      <c r="U6" s="23" t="s">
        <v>157</v>
      </c>
      <c r="V6" s="23" t="s">
        <v>157</v>
      </c>
      <c r="W6" s="23" t="s">
        <v>157</v>
      </c>
      <c r="X6" s="24" t="s">
        <v>130</v>
      </c>
      <c r="Y6" s="24" t="s">
        <v>130</v>
      </c>
      <c r="Z6" s="23" t="s">
        <v>131</v>
      </c>
      <c r="AA6" s="23" t="s">
        <v>131</v>
      </c>
      <c r="AB6" s="23" t="s">
        <v>131</v>
      </c>
      <c r="AC6" s="23" t="s">
        <v>131</v>
      </c>
      <c r="AD6" s="23" t="s">
        <v>131</v>
      </c>
      <c r="AE6" s="24" t="s">
        <v>130</v>
      </c>
      <c r="AF6" s="24" t="s">
        <v>130</v>
      </c>
      <c r="AG6" s="23" t="s">
        <v>131</v>
      </c>
      <c r="AH6" s="23" t="s">
        <v>131</v>
      </c>
      <c r="AI6" s="23" t="s">
        <v>131</v>
      </c>
      <c r="AJ6" s="23" t="s">
        <v>131</v>
      </c>
      <c r="AK6" s="23" t="s">
        <v>131</v>
      </c>
      <c r="AL6" s="24" t="s">
        <v>130</v>
      </c>
      <c r="AM6" s="24" t="s">
        <v>130</v>
      </c>
      <c r="AN6" s="23" t="s">
        <v>131</v>
      </c>
      <c r="AO6" s="23" t="s">
        <v>131</v>
      </c>
      <c r="AP6" s="23" t="s">
        <v>131</v>
      </c>
      <c r="AQ6" s="25" t="s">
        <v>131</v>
      </c>
      <c r="AR6" s="23">
        <f t="shared" si="2"/>
        <v>8</v>
      </c>
    </row>
    <row r="7" spans="1:44" x14ac:dyDescent="0.2">
      <c r="A7" s="10">
        <v>1</v>
      </c>
      <c r="B7" s="1" t="s">
        <v>18</v>
      </c>
      <c r="C7" s="2" t="s">
        <v>19</v>
      </c>
      <c r="D7" s="3" t="s">
        <v>20</v>
      </c>
      <c r="E7" s="3" t="s">
        <v>21</v>
      </c>
      <c r="F7" s="5">
        <v>45740</v>
      </c>
      <c r="G7" s="5">
        <v>45740</v>
      </c>
      <c r="H7" s="23" t="s">
        <v>130</v>
      </c>
      <c r="I7" s="23" t="s">
        <v>132</v>
      </c>
      <c r="J7" s="23" t="s">
        <v>131</v>
      </c>
      <c r="K7" s="23" t="s">
        <v>131</v>
      </c>
      <c r="L7" s="23" t="s">
        <v>131</v>
      </c>
      <c r="M7" s="23" t="s">
        <v>129</v>
      </c>
      <c r="N7" s="24" t="s">
        <v>130</v>
      </c>
      <c r="O7" s="24" t="s">
        <v>130</v>
      </c>
      <c r="P7" s="23" t="s">
        <v>157</v>
      </c>
      <c r="Q7" s="23" t="s">
        <v>157</v>
      </c>
      <c r="R7" s="23" t="s">
        <v>157</v>
      </c>
      <c r="S7" s="23" t="s">
        <v>157</v>
      </c>
      <c r="T7" s="23" t="s">
        <v>157</v>
      </c>
      <c r="U7" s="24" t="s">
        <v>130</v>
      </c>
      <c r="V7" s="24" t="s">
        <v>130</v>
      </c>
      <c r="W7" s="23" t="s">
        <v>131</v>
      </c>
      <c r="X7" s="23" t="s">
        <v>131</v>
      </c>
      <c r="Y7" s="23" t="s">
        <v>131</v>
      </c>
      <c r="Z7" s="23" t="s">
        <v>131</v>
      </c>
      <c r="AA7" s="23" t="s">
        <v>131</v>
      </c>
      <c r="AB7" s="24" t="s">
        <v>130</v>
      </c>
      <c r="AC7" s="24" t="s">
        <v>130</v>
      </c>
      <c r="AD7" s="23" t="s">
        <v>131</v>
      </c>
      <c r="AE7" s="23" t="s">
        <v>131</v>
      </c>
      <c r="AF7" s="23" t="s">
        <v>131</v>
      </c>
      <c r="AG7" s="23" t="s">
        <v>131</v>
      </c>
      <c r="AH7" s="23" t="s">
        <v>131</v>
      </c>
      <c r="AI7" s="24" t="s">
        <v>130</v>
      </c>
      <c r="AJ7" s="24" t="s">
        <v>130</v>
      </c>
      <c r="AK7" s="23" t="s">
        <v>131</v>
      </c>
      <c r="AL7" s="23" t="s">
        <v>131</v>
      </c>
      <c r="AM7" s="23" t="s">
        <v>131</v>
      </c>
      <c r="AN7" s="23" t="s">
        <v>131</v>
      </c>
      <c r="AO7" s="23" t="s">
        <v>131</v>
      </c>
      <c r="AP7" s="24" t="s">
        <v>130</v>
      </c>
      <c r="AQ7" s="26" t="s">
        <v>130</v>
      </c>
      <c r="AR7" s="23">
        <f t="shared" si="2"/>
        <v>10</v>
      </c>
    </row>
    <row r="8" spans="1:44" x14ac:dyDescent="0.2">
      <c r="A8" s="10">
        <v>1</v>
      </c>
      <c r="B8" s="1" t="s">
        <v>22</v>
      </c>
      <c r="C8" s="2" t="s">
        <v>23</v>
      </c>
      <c r="D8" s="3" t="s">
        <v>24</v>
      </c>
      <c r="E8" s="3" t="s">
        <v>21</v>
      </c>
      <c r="F8" s="5">
        <v>45432</v>
      </c>
      <c r="G8" s="5">
        <v>45819</v>
      </c>
      <c r="H8" s="23" t="s">
        <v>131</v>
      </c>
      <c r="I8" s="23" t="s">
        <v>131</v>
      </c>
      <c r="J8" s="23" t="s">
        <v>167</v>
      </c>
      <c r="K8" s="23" t="s">
        <v>167</v>
      </c>
      <c r="L8" s="23" t="s">
        <v>130</v>
      </c>
      <c r="M8" s="23" t="s">
        <v>130</v>
      </c>
      <c r="N8" s="23" t="s">
        <v>157</v>
      </c>
      <c r="O8" s="23" t="s">
        <v>157</v>
      </c>
      <c r="P8" s="23" t="s">
        <v>157</v>
      </c>
      <c r="Q8" s="23" t="s">
        <v>157</v>
      </c>
      <c r="R8" s="23" t="s">
        <v>157</v>
      </c>
      <c r="S8" s="24" t="s">
        <v>130</v>
      </c>
      <c r="T8" s="24" t="s">
        <v>130</v>
      </c>
      <c r="U8" s="23" t="s">
        <v>157</v>
      </c>
      <c r="V8" s="23" t="s">
        <v>157</v>
      </c>
      <c r="W8" s="23" t="s">
        <v>157</v>
      </c>
      <c r="X8" s="23" t="s">
        <v>157</v>
      </c>
      <c r="Y8" s="23" t="s">
        <v>157</v>
      </c>
      <c r="Z8" s="24" t="s">
        <v>130</v>
      </c>
      <c r="AA8" s="24" t="s">
        <v>130</v>
      </c>
      <c r="AB8" s="23" t="s">
        <v>157</v>
      </c>
      <c r="AC8" s="23" t="s">
        <v>157</v>
      </c>
      <c r="AD8" s="23" t="s">
        <v>157</v>
      </c>
      <c r="AE8" s="23" t="s">
        <v>157</v>
      </c>
      <c r="AF8" s="23" t="s">
        <v>157</v>
      </c>
      <c r="AG8" s="24" t="s">
        <v>130</v>
      </c>
      <c r="AH8" s="24" t="s">
        <v>130</v>
      </c>
      <c r="AI8" s="23" t="s">
        <v>157</v>
      </c>
      <c r="AJ8" s="23" t="s">
        <v>157</v>
      </c>
      <c r="AK8" s="23" t="s">
        <v>157</v>
      </c>
      <c r="AL8" s="23" t="s">
        <v>157</v>
      </c>
      <c r="AM8" s="23" t="s">
        <v>157</v>
      </c>
      <c r="AN8" s="24" t="s">
        <v>130</v>
      </c>
      <c r="AO8" s="24" t="s">
        <v>130</v>
      </c>
      <c r="AP8" s="23" t="s">
        <v>131</v>
      </c>
      <c r="AQ8" s="25" t="s">
        <v>131</v>
      </c>
      <c r="AR8" s="23">
        <f t="shared" si="2"/>
        <v>8</v>
      </c>
    </row>
    <row r="9" spans="1:44" x14ac:dyDescent="0.2">
      <c r="A9" s="10">
        <v>1</v>
      </c>
      <c r="B9" s="1" t="s">
        <v>25</v>
      </c>
      <c r="C9" s="2" t="s">
        <v>26</v>
      </c>
      <c r="D9" s="3" t="s">
        <v>27</v>
      </c>
      <c r="E9" s="3" t="s">
        <v>21</v>
      </c>
      <c r="F9" s="5">
        <v>44865</v>
      </c>
      <c r="G9" s="5">
        <v>46132</v>
      </c>
      <c r="H9" s="23" t="s">
        <v>130</v>
      </c>
      <c r="I9" s="23" t="s">
        <v>130</v>
      </c>
      <c r="J9" s="23" t="s">
        <v>133</v>
      </c>
      <c r="K9" s="23" t="s">
        <v>133</v>
      </c>
      <c r="L9" s="23" t="s">
        <v>133</v>
      </c>
      <c r="M9" s="23" t="s">
        <v>133</v>
      </c>
      <c r="N9" s="24" t="s">
        <v>130</v>
      </c>
      <c r="O9" s="23" t="s">
        <v>156</v>
      </c>
      <c r="P9" s="23" t="s">
        <v>156</v>
      </c>
      <c r="Q9" s="23" t="s">
        <v>156</v>
      </c>
      <c r="R9" s="23" t="s">
        <v>156</v>
      </c>
      <c r="S9" s="23" t="s">
        <v>156</v>
      </c>
      <c r="T9" s="24" t="s">
        <v>130</v>
      </c>
      <c r="U9" s="24" t="s">
        <v>130</v>
      </c>
      <c r="V9" s="23" t="s">
        <v>155</v>
      </c>
      <c r="W9" s="23" t="s">
        <v>155</v>
      </c>
      <c r="X9" s="23" t="s">
        <v>155</v>
      </c>
      <c r="Y9" s="23" t="s">
        <v>155</v>
      </c>
      <c r="Z9" s="23" t="s">
        <v>155</v>
      </c>
      <c r="AA9" s="24" t="s">
        <v>130</v>
      </c>
      <c r="AB9" s="24" t="s">
        <v>130</v>
      </c>
      <c r="AC9" s="23" t="s">
        <v>155</v>
      </c>
      <c r="AD9" s="23" t="s">
        <v>155</v>
      </c>
      <c r="AE9" s="23" t="s">
        <v>155</v>
      </c>
      <c r="AF9" s="23" t="s">
        <v>155</v>
      </c>
      <c r="AG9" s="23" t="s">
        <v>155</v>
      </c>
      <c r="AH9" s="24" t="s">
        <v>130</v>
      </c>
      <c r="AI9" s="24" t="s">
        <v>130</v>
      </c>
      <c r="AJ9" s="23" t="s">
        <v>155</v>
      </c>
      <c r="AK9" s="23" t="s">
        <v>155</v>
      </c>
      <c r="AL9" s="23" t="s">
        <v>155</v>
      </c>
      <c r="AM9" s="23" t="s">
        <v>155</v>
      </c>
      <c r="AN9" s="23" t="s">
        <v>155</v>
      </c>
      <c r="AO9" s="24" t="s">
        <v>130</v>
      </c>
      <c r="AP9" s="24" t="s">
        <v>130</v>
      </c>
      <c r="AQ9" s="25" t="s">
        <v>155</v>
      </c>
      <c r="AR9" s="23">
        <f t="shared" si="2"/>
        <v>9</v>
      </c>
    </row>
    <row r="10" spans="1:44" x14ac:dyDescent="0.2">
      <c r="A10" s="10">
        <v>1</v>
      </c>
      <c r="B10" s="1" t="s">
        <v>28</v>
      </c>
      <c r="C10" s="2" t="s">
        <v>29</v>
      </c>
      <c r="D10" s="3" t="s">
        <v>30</v>
      </c>
      <c r="E10" s="3" t="s">
        <v>31</v>
      </c>
      <c r="F10" s="5">
        <v>46251</v>
      </c>
      <c r="G10" s="5">
        <v>46251</v>
      </c>
      <c r="H10" s="23" t="s">
        <v>134</v>
      </c>
      <c r="I10" s="23" t="s">
        <v>134</v>
      </c>
      <c r="J10" s="23" t="s">
        <v>134</v>
      </c>
      <c r="K10" s="23" t="s">
        <v>135</v>
      </c>
      <c r="L10" s="23" t="s">
        <v>135</v>
      </c>
      <c r="M10" s="23" t="s">
        <v>130</v>
      </c>
      <c r="N10" s="24" t="s">
        <v>130</v>
      </c>
      <c r="O10" s="24" t="s">
        <v>135</v>
      </c>
      <c r="P10" s="24" t="s">
        <v>135</v>
      </c>
      <c r="Q10" s="24" t="s">
        <v>135</v>
      </c>
      <c r="R10" s="24" t="s">
        <v>135</v>
      </c>
      <c r="S10" s="24" t="s">
        <v>135</v>
      </c>
      <c r="T10" s="24" t="s">
        <v>130</v>
      </c>
      <c r="U10" s="24" t="s">
        <v>130</v>
      </c>
      <c r="V10" s="24" t="s">
        <v>135</v>
      </c>
      <c r="W10" s="24" t="s">
        <v>135</v>
      </c>
      <c r="X10" s="24" t="s">
        <v>135</v>
      </c>
      <c r="Y10" s="24" t="s">
        <v>135</v>
      </c>
      <c r="Z10" s="24" t="s">
        <v>135</v>
      </c>
      <c r="AA10" s="24" t="s">
        <v>130</v>
      </c>
      <c r="AB10" s="24" t="s">
        <v>130</v>
      </c>
      <c r="AC10" s="24" t="s">
        <v>135</v>
      </c>
      <c r="AD10" s="24" t="s">
        <v>135</v>
      </c>
      <c r="AE10" s="24" t="s">
        <v>135</v>
      </c>
      <c r="AF10" s="24" t="s">
        <v>135</v>
      </c>
      <c r="AG10" s="24" t="s">
        <v>135</v>
      </c>
      <c r="AH10" s="24" t="s">
        <v>130</v>
      </c>
      <c r="AI10" s="24" t="s">
        <v>130</v>
      </c>
      <c r="AJ10" s="24" t="s">
        <v>135</v>
      </c>
      <c r="AK10" s="24" t="s">
        <v>135</v>
      </c>
      <c r="AL10" s="24" t="s">
        <v>135</v>
      </c>
      <c r="AM10" s="24" t="s">
        <v>135</v>
      </c>
      <c r="AN10" s="24" t="s">
        <v>135</v>
      </c>
      <c r="AO10" s="24" t="s">
        <v>130</v>
      </c>
      <c r="AP10" s="24" t="s">
        <v>130</v>
      </c>
      <c r="AQ10" s="26" t="s">
        <v>135</v>
      </c>
      <c r="AR10" s="23">
        <f t="shared" si="2"/>
        <v>9</v>
      </c>
    </row>
    <row r="11" spans="1:44" x14ac:dyDescent="0.2">
      <c r="A11" s="10">
        <v>1</v>
      </c>
      <c r="B11" s="1" t="s">
        <v>32</v>
      </c>
      <c r="C11" s="2" t="s">
        <v>33</v>
      </c>
      <c r="D11" s="3" t="s">
        <v>34</v>
      </c>
      <c r="E11" s="3" t="s">
        <v>35</v>
      </c>
      <c r="F11" s="4">
        <v>40809</v>
      </c>
      <c r="G11" s="4">
        <v>43945</v>
      </c>
      <c r="H11" s="23" t="s">
        <v>132</v>
      </c>
      <c r="I11" s="23" t="s">
        <v>131</v>
      </c>
      <c r="J11" s="23" t="s">
        <v>132</v>
      </c>
      <c r="K11" s="23" t="s">
        <v>130</v>
      </c>
      <c r="L11" s="23" t="s">
        <v>130</v>
      </c>
      <c r="M11" s="23" t="s">
        <v>132</v>
      </c>
      <c r="N11" s="23" t="s">
        <v>137</v>
      </c>
      <c r="O11" s="23" t="s">
        <v>137</v>
      </c>
      <c r="P11" s="23" t="s">
        <v>137</v>
      </c>
      <c r="Q11" s="23" t="s">
        <v>137</v>
      </c>
      <c r="R11" s="23" t="s">
        <v>130</v>
      </c>
      <c r="S11" s="23" t="s">
        <v>130</v>
      </c>
      <c r="T11" s="23" t="s">
        <v>138</v>
      </c>
      <c r="U11" s="23" t="s">
        <v>138</v>
      </c>
      <c r="V11" s="23" t="s">
        <v>138</v>
      </c>
      <c r="W11" s="23" t="s">
        <v>138</v>
      </c>
      <c r="X11" s="23" t="s">
        <v>158</v>
      </c>
      <c r="Y11" s="23" t="s">
        <v>130</v>
      </c>
      <c r="Z11" s="23" t="s">
        <v>130</v>
      </c>
      <c r="AA11" s="23" t="s">
        <v>138</v>
      </c>
      <c r="AB11" s="23" t="s">
        <v>138</v>
      </c>
      <c r="AC11" s="23" t="s">
        <v>138</v>
      </c>
      <c r="AD11" s="23" t="s">
        <v>138</v>
      </c>
      <c r="AE11" s="23" t="s">
        <v>138</v>
      </c>
      <c r="AF11" s="23" t="s">
        <v>130</v>
      </c>
      <c r="AG11" s="23" t="s">
        <v>130</v>
      </c>
      <c r="AH11" s="23" t="s">
        <v>138</v>
      </c>
      <c r="AI11" s="23" t="s">
        <v>138</v>
      </c>
      <c r="AJ11" s="23" t="s">
        <v>138</v>
      </c>
      <c r="AK11" s="23" t="s">
        <v>138</v>
      </c>
      <c r="AL11" s="23" t="s">
        <v>138</v>
      </c>
      <c r="AM11" s="23" t="s">
        <v>130</v>
      </c>
      <c r="AN11" s="23" t="s">
        <v>130</v>
      </c>
      <c r="AO11" s="23" t="s">
        <v>138</v>
      </c>
      <c r="AP11" s="23" t="s">
        <v>138</v>
      </c>
      <c r="AQ11" s="25" t="s">
        <v>138</v>
      </c>
      <c r="AR11" s="23">
        <f t="shared" si="2"/>
        <v>8</v>
      </c>
    </row>
    <row r="12" spans="1:44" x14ac:dyDescent="0.2">
      <c r="A12" s="10">
        <v>1</v>
      </c>
      <c r="B12" s="1" t="s">
        <v>36</v>
      </c>
      <c r="C12" s="2" t="s">
        <v>37</v>
      </c>
      <c r="D12" s="3" t="s">
        <v>38</v>
      </c>
      <c r="E12" s="3" t="s">
        <v>35</v>
      </c>
      <c r="F12" s="4">
        <v>45264</v>
      </c>
      <c r="G12" s="4">
        <v>45264</v>
      </c>
      <c r="H12" s="23" t="s">
        <v>132</v>
      </c>
      <c r="I12" s="23" t="s">
        <v>130</v>
      </c>
      <c r="J12" s="23" t="s">
        <v>130</v>
      </c>
      <c r="K12" s="23" t="s">
        <v>132</v>
      </c>
      <c r="L12" s="23" t="s">
        <v>132</v>
      </c>
      <c r="M12" s="23" t="s">
        <v>132</v>
      </c>
      <c r="N12" s="23" t="s">
        <v>130</v>
      </c>
      <c r="O12" s="23" t="s">
        <v>130</v>
      </c>
      <c r="P12" s="23" t="s">
        <v>137</v>
      </c>
      <c r="Q12" s="23" t="s">
        <v>137</v>
      </c>
      <c r="R12" s="23" t="s">
        <v>137</v>
      </c>
      <c r="S12" s="23" t="s">
        <v>137</v>
      </c>
      <c r="T12" s="23" t="s">
        <v>138</v>
      </c>
      <c r="U12" s="23" t="s">
        <v>130</v>
      </c>
      <c r="V12" s="23" t="s">
        <v>130</v>
      </c>
      <c r="W12" s="23" t="s">
        <v>138</v>
      </c>
      <c r="X12" s="23" t="s">
        <v>138</v>
      </c>
      <c r="Y12" s="23" t="s">
        <v>138</v>
      </c>
      <c r="Z12" s="23" t="s">
        <v>138</v>
      </c>
      <c r="AA12" s="23" t="s">
        <v>138</v>
      </c>
      <c r="AB12" s="23" t="s">
        <v>130</v>
      </c>
      <c r="AC12" s="23" t="s">
        <v>130</v>
      </c>
      <c r="AD12" s="23" t="s">
        <v>138</v>
      </c>
      <c r="AE12" s="23" t="s">
        <v>138</v>
      </c>
      <c r="AF12" s="23" t="s">
        <v>138</v>
      </c>
      <c r="AG12" s="23" t="s">
        <v>138</v>
      </c>
      <c r="AH12" s="23" t="s">
        <v>138</v>
      </c>
      <c r="AI12" s="23" t="s">
        <v>130</v>
      </c>
      <c r="AJ12" s="23" t="s">
        <v>130</v>
      </c>
      <c r="AK12" s="23" t="s">
        <v>138</v>
      </c>
      <c r="AL12" s="23" t="s">
        <v>138</v>
      </c>
      <c r="AM12" s="23" t="s">
        <v>138</v>
      </c>
      <c r="AN12" s="23" t="s">
        <v>138</v>
      </c>
      <c r="AO12" s="23" t="s">
        <v>138</v>
      </c>
      <c r="AP12" s="23" t="s">
        <v>130</v>
      </c>
      <c r="AQ12" s="23" t="s">
        <v>130</v>
      </c>
      <c r="AR12" s="23">
        <f t="shared" si="2"/>
        <v>10</v>
      </c>
    </row>
    <row r="13" spans="1:44" x14ac:dyDescent="0.2">
      <c r="A13" s="10">
        <v>1</v>
      </c>
      <c r="B13" s="1" t="s">
        <v>39</v>
      </c>
      <c r="C13" s="2" t="s">
        <v>40</v>
      </c>
      <c r="D13" s="3" t="s">
        <v>41</v>
      </c>
      <c r="E13" s="3" t="s">
        <v>35</v>
      </c>
      <c r="F13" s="5">
        <v>45964</v>
      </c>
      <c r="G13" s="5">
        <v>45964</v>
      </c>
      <c r="H13" s="23" t="s">
        <v>130</v>
      </c>
      <c r="I13" s="23" t="s">
        <v>130</v>
      </c>
      <c r="J13" s="23" t="s">
        <v>133</v>
      </c>
      <c r="K13" s="23" t="s">
        <v>133</v>
      </c>
      <c r="L13" s="23" t="s">
        <v>133</v>
      </c>
      <c r="M13" s="23" t="s">
        <v>133</v>
      </c>
      <c r="N13" s="27" t="s">
        <v>130</v>
      </c>
      <c r="O13" s="24" t="s">
        <v>130</v>
      </c>
      <c r="P13" s="23" t="s">
        <v>156</v>
      </c>
      <c r="Q13" s="23" t="s">
        <v>156</v>
      </c>
      <c r="R13" s="23" t="s">
        <v>156</v>
      </c>
      <c r="S13" s="24" t="s">
        <v>130</v>
      </c>
      <c r="T13" s="23" t="s">
        <v>156</v>
      </c>
      <c r="U13" s="23" t="s">
        <v>156</v>
      </c>
      <c r="V13" s="23" t="s">
        <v>156</v>
      </c>
      <c r="W13" s="23" t="s">
        <v>156</v>
      </c>
      <c r="X13" s="27" t="s">
        <v>130</v>
      </c>
      <c r="Y13" s="24" t="s">
        <v>130</v>
      </c>
      <c r="Z13" s="23" t="s">
        <v>138</v>
      </c>
      <c r="AA13" s="23" t="s">
        <v>155</v>
      </c>
      <c r="AB13" s="23" t="s">
        <v>155</v>
      </c>
      <c r="AC13" s="23" t="s">
        <v>155</v>
      </c>
      <c r="AD13" s="23" t="s">
        <v>155</v>
      </c>
      <c r="AE13" s="24" t="s">
        <v>130</v>
      </c>
      <c r="AF13" s="24" t="s">
        <v>130</v>
      </c>
      <c r="AG13" s="23" t="s">
        <v>138</v>
      </c>
      <c r="AH13" s="23" t="s">
        <v>155</v>
      </c>
      <c r="AI13" s="23" t="s">
        <v>155</v>
      </c>
      <c r="AJ13" s="23" t="s">
        <v>155</v>
      </c>
      <c r="AK13" s="23" t="s">
        <v>155</v>
      </c>
      <c r="AL13" s="24" t="s">
        <v>130</v>
      </c>
      <c r="AM13" s="24" t="s">
        <v>130</v>
      </c>
      <c r="AN13" s="23" t="s">
        <v>138</v>
      </c>
      <c r="AO13" s="23" t="s">
        <v>155</v>
      </c>
      <c r="AP13" s="23" t="s">
        <v>155</v>
      </c>
      <c r="AQ13" s="23" t="s">
        <v>155</v>
      </c>
      <c r="AR13" s="23">
        <f t="shared" si="2"/>
        <v>9</v>
      </c>
    </row>
    <row r="14" spans="1:44" x14ac:dyDescent="0.2">
      <c r="A14" s="10">
        <v>1</v>
      </c>
      <c r="B14" s="1" t="s">
        <v>42</v>
      </c>
      <c r="C14" s="2" t="s">
        <v>43</v>
      </c>
      <c r="D14" s="1" t="s">
        <v>44</v>
      </c>
      <c r="E14" s="3" t="s">
        <v>35</v>
      </c>
      <c r="F14" s="5">
        <v>46125</v>
      </c>
      <c r="G14" s="5">
        <v>46125</v>
      </c>
      <c r="H14" s="23" t="s">
        <v>129</v>
      </c>
      <c r="I14" s="23" t="s">
        <v>129</v>
      </c>
      <c r="J14" s="23" t="s">
        <v>129</v>
      </c>
      <c r="K14" s="23" t="s">
        <v>129</v>
      </c>
      <c r="L14" s="23" t="s">
        <v>129</v>
      </c>
      <c r="M14" s="23" t="s">
        <v>130</v>
      </c>
      <c r="N14" s="23" t="s">
        <v>137</v>
      </c>
      <c r="O14" s="23" t="s">
        <v>137</v>
      </c>
      <c r="P14" s="23" t="s">
        <v>138</v>
      </c>
      <c r="Q14" s="23" t="s">
        <v>138</v>
      </c>
      <c r="R14" s="23" t="s">
        <v>138</v>
      </c>
      <c r="S14" s="24" t="s">
        <v>130</v>
      </c>
      <c r="T14" s="24" t="s">
        <v>130</v>
      </c>
      <c r="U14" s="23" t="s">
        <v>138</v>
      </c>
      <c r="V14" s="23" t="s">
        <v>138</v>
      </c>
      <c r="W14" s="23" t="s">
        <v>138</v>
      </c>
      <c r="X14" s="23" t="s">
        <v>138</v>
      </c>
      <c r="Y14" s="23" t="s">
        <v>138</v>
      </c>
      <c r="Z14" s="24" t="s">
        <v>130</v>
      </c>
      <c r="AA14" s="24" t="s">
        <v>130</v>
      </c>
      <c r="AB14" s="23" t="s">
        <v>138</v>
      </c>
      <c r="AC14" s="23" t="s">
        <v>138</v>
      </c>
      <c r="AD14" s="23" t="s">
        <v>138</v>
      </c>
      <c r="AE14" s="23" t="s">
        <v>138</v>
      </c>
      <c r="AF14" s="23" t="s">
        <v>138</v>
      </c>
      <c r="AG14" s="24" t="s">
        <v>130</v>
      </c>
      <c r="AH14" s="24" t="s">
        <v>130</v>
      </c>
      <c r="AI14" s="23" t="s">
        <v>138</v>
      </c>
      <c r="AJ14" s="23" t="s">
        <v>138</v>
      </c>
      <c r="AK14" s="23" t="s">
        <v>138</v>
      </c>
      <c r="AL14" s="23" t="s">
        <v>138</v>
      </c>
      <c r="AM14" s="23" t="s">
        <v>138</v>
      </c>
      <c r="AN14" s="24" t="s">
        <v>130</v>
      </c>
      <c r="AO14" s="24" t="s">
        <v>130</v>
      </c>
      <c r="AP14" s="23" t="s">
        <v>138</v>
      </c>
      <c r="AQ14" s="23" t="s">
        <v>138</v>
      </c>
      <c r="AR14" s="23">
        <f t="shared" si="2"/>
        <v>8</v>
      </c>
    </row>
    <row r="15" spans="1:44" x14ac:dyDescent="0.2">
      <c r="A15" s="10">
        <v>1</v>
      </c>
      <c r="B15" s="1" t="s">
        <v>45</v>
      </c>
      <c r="C15" s="2" t="s">
        <v>46</v>
      </c>
      <c r="D15" s="3" t="s">
        <v>47</v>
      </c>
      <c r="E15" s="3" t="s">
        <v>35</v>
      </c>
      <c r="F15" s="5">
        <v>46125</v>
      </c>
      <c r="G15" s="5">
        <v>46125</v>
      </c>
      <c r="H15" s="23" t="s">
        <v>129</v>
      </c>
      <c r="I15" s="23" t="s">
        <v>129</v>
      </c>
      <c r="J15" s="23" t="s">
        <v>129</v>
      </c>
      <c r="K15" s="23" t="s">
        <v>129</v>
      </c>
      <c r="L15" s="23" t="s">
        <v>129</v>
      </c>
      <c r="M15" s="23" t="s">
        <v>130</v>
      </c>
      <c r="N15" s="23" t="s">
        <v>137</v>
      </c>
      <c r="O15" s="23" t="s">
        <v>137</v>
      </c>
      <c r="P15" s="23" t="s">
        <v>138</v>
      </c>
      <c r="Q15" s="23" t="s">
        <v>138</v>
      </c>
      <c r="R15" s="24" t="s">
        <v>130</v>
      </c>
      <c r="S15" s="23" t="s">
        <v>138</v>
      </c>
      <c r="T15" s="23" t="s">
        <v>138</v>
      </c>
      <c r="U15" s="24" t="s">
        <v>130</v>
      </c>
      <c r="V15" s="23" t="s">
        <v>138</v>
      </c>
      <c r="W15" s="23" t="s">
        <v>138</v>
      </c>
      <c r="X15" s="23" t="s">
        <v>138</v>
      </c>
      <c r="Y15" s="24" t="s">
        <v>130</v>
      </c>
      <c r="Z15" s="24" t="s">
        <v>130</v>
      </c>
      <c r="AA15" s="23" t="s">
        <v>138</v>
      </c>
      <c r="AB15" s="23" t="s">
        <v>138</v>
      </c>
      <c r="AC15" s="23" t="s">
        <v>138</v>
      </c>
      <c r="AD15" s="23" t="s">
        <v>138</v>
      </c>
      <c r="AE15" s="23" t="s">
        <v>138</v>
      </c>
      <c r="AF15" s="24" t="s">
        <v>130</v>
      </c>
      <c r="AG15" s="24" t="s">
        <v>130</v>
      </c>
      <c r="AH15" s="23" t="s">
        <v>138</v>
      </c>
      <c r="AI15" s="23" t="s">
        <v>138</v>
      </c>
      <c r="AJ15" s="23" t="s">
        <v>138</v>
      </c>
      <c r="AK15" s="23" t="s">
        <v>138</v>
      </c>
      <c r="AL15" s="23" t="s">
        <v>138</v>
      </c>
      <c r="AM15" s="24" t="s">
        <v>130</v>
      </c>
      <c r="AN15" s="24" t="s">
        <v>130</v>
      </c>
      <c r="AO15" s="23" t="s">
        <v>138</v>
      </c>
      <c r="AP15" s="23" t="s">
        <v>138</v>
      </c>
      <c r="AQ15" s="23" t="s">
        <v>138</v>
      </c>
      <c r="AR15" s="23">
        <f t="shared" si="2"/>
        <v>8</v>
      </c>
    </row>
    <row r="16" spans="1:44" x14ac:dyDescent="0.2">
      <c r="A16" s="10">
        <v>1</v>
      </c>
      <c r="B16" s="1" t="s">
        <v>48</v>
      </c>
      <c r="C16" s="2" t="s">
        <v>49</v>
      </c>
      <c r="D16" s="3" t="s">
        <v>50</v>
      </c>
      <c r="E16" s="3" t="s">
        <v>35</v>
      </c>
      <c r="F16" s="5">
        <v>46139</v>
      </c>
      <c r="G16" s="5">
        <v>46139</v>
      </c>
      <c r="H16" s="23" t="s">
        <v>131</v>
      </c>
      <c r="I16" s="23" t="s">
        <v>131</v>
      </c>
      <c r="J16" s="23" t="s">
        <v>131</v>
      </c>
      <c r="K16" s="23" t="s">
        <v>131</v>
      </c>
      <c r="L16" s="23" t="s">
        <v>131</v>
      </c>
      <c r="M16" s="23" t="s">
        <v>130</v>
      </c>
      <c r="N16" s="23" t="s">
        <v>155</v>
      </c>
      <c r="O16" s="23" t="s">
        <v>155</v>
      </c>
      <c r="P16" s="23" t="s">
        <v>155</v>
      </c>
      <c r="Q16" s="23" t="s">
        <v>155</v>
      </c>
      <c r="R16" s="23" t="s">
        <v>155</v>
      </c>
      <c r="S16" s="23" t="s">
        <v>155</v>
      </c>
      <c r="T16" s="24" t="s">
        <v>130</v>
      </c>
      <c r="U16" s="24" t="s">
        <v>130</v>
      </c>
      <c r="V16" s="23" t="s">
        <v>155</v>
      </c>
      <c r="W16" s="23" t="s">
        <v>155</v>
      </c>
      <c r="X16" s="23" t="s">
        <v>155</v>
      </c>
      <c r="Y16" s="23" t="s">
        <v>155</v>
      </c>
      <c r="Z16" s="23" t="s">
        <v>155</v>
      </c>
      <c r="AA16" s="24" t="s">
        <v>130</v>
      </c>
      <c r="AB16" s="24" t="s">
        <v>130</v>
      </c>
      <c r="AC16" s="23" t="s">
        <v>155</v>
      </c>
      <c r="AD16" s="23" t="s">
        <v>155</v>
      </c>
      <c r="AE16" s="23" t="s">
        <v>155</v>
      </c>
      <c r="AF16" s="23" t="s">
        <v>155</v>
      </c>
      <c r="AG16" s="23" t="s">
        <v>155</v>
      </c>
      <c r="AH16" s="24" t="s">
        <v>130</v>
      </c>
      <c r="AI16" s="24" t="s">
        <v>130</v>
      </c>
      <c r="AJ16" s="23" t="s">
        <v>155</v>
      </c>
      <c r="AK16" s="23" t="s">
        <v>155</v>
      </c>
      <c r="AL16" s="23" t="s">
        <v>155</v>
      </c>
      <c r="AM16" s="23" t="s">
        <v>155</v>
      </c>
      <c r="AN16" s="23" t="s">
        <v>155</v>
      </c>
      <c r="AO16" s="24" t="s">
        <v>130</v>
      </c>
      <c r="AP16" s="24" t="s">
        <v>130</v>
      </c>
      <c r="AQ16" s="23" t="s">
        <v>155</v>
      </c>
      <c r="AR16" s="23">
        <f t="shared" si="2"/>
        <v>8</v>
      </c>
    </row>
    <row r="17" spans="1:44" x14ac:dyDescent="0.2">
      <c r="A17" s="10">
        <v>1</v>
      </c>
      <c r="B17" s="1" t="s">
        <v>51</v>
      </c>
      <c r="C17" s="2" t="s">
        <v>52</v>
      </c>
      <c r="D17" s="3" t="s">
        <v>53</v>
      </c>
      <c r="E17" s="3" t="s">
        <v>35</v>
      </c>
      <c r="F17" s="5">
        <v>46153</v>
      </c>
      <c r="G17" s="5">
        <v>46153</v>
      </c>
      <c r="H17" s="23" t="s">
        <v>130</v>
      </c>
      <c r="I17" s="23" t="s">
        <v>130</v>
      </c>
      <c r="J17" s="23" t="s">
        <v>131</v>
      </c>
      <c r="K17" s="23" t="s">
        <v>131</v>
      </c>
      <c r="L17" s="23" t="s">
        <v>131</v>
      </c>
      <c r="M17" s="23" t="s">
        <v>131</v>
      </c>
      <c r="N17" s="24" t="s">
        <v>130</v>
      </c>
      <c r="O17" s="23" t="s">
        <v>155</v>
      </c>
      <c r="P17" s="23" t="s">
        <v>155</v>
      </c>
      <c r="Q17" s="24" t="s">
        <v>130</v>
      </c>
      <c r="R17" s="24" t="s">
        <v>130</v>
      </c>
      <c r="S17" s="23" t="s">
        <v>155</v>
      </c>
      <c r="T17" s="23" t="s">
        <v>155</v>
      </c>
      <c r="U17" s="23" t="s">
        <v>155</v>
      </c>
      <c r="V17" s="24" t="s">
        <v>130</v>
      </c>
      <c r="W17" s="24" t="s">
        <v>130</v>
      </c>
      <c r="X17" s="23" t="s">
        <v>155</v>
      </c>
      <c r="Y17" s="23" t="s">
        <v>155</v>
      </c>
      <c r="Z17" s="23" t="s">
        <v>155</v>
      </c>
      <c r="AA17" s="23" t="s">
        <v>155</v>
      </c>
      <c r="AB17" s="23" t="s">
        <v>155</v>
      </c>
      <c r="AC17" s="24" t="s">
        <v>130</v>
      </c>
      <c r="AD17" s="24" t="s">
        <v>130</v>
      </c>
      <c r="AE17" s="23" t="s">
        <v>155</v>
      </c>
      <c r="AF17" s="23" t="s">
        <v>155</v>
      </c>
      <c r="AG17" s="23" t="s">
        <v>155</v>
      </c>
      <c r="AH17" s="23" t="s">
        <v>155</v>
      </c>
      <c r="AI17" s="23" t="s">
        <v>155</v>
      </c>
      <c r="AJ17" s="24" t="s">
        <v>130</v>
      </c>
      <c r="AK17" s="24" t="s">
        <v>130</v>
      </c>
      <c r="AL17" s="23" t="s">
        <v>155</v>
      </c>
      <c r="AM17" s="23" t="s">
        <v>155</v>
      </c>
      <c r="AN17" s="23" t="s">
        <v>155</v>
      </c>
      <c r="AO17" s="23" t="s">
        <v>155</v>
      </c>
      <c r="AP17" s="23" t="s">
        <v>155</v>
      </c>
      <c r="AQ17" s="24" t="s">
        <v>130</v>
      </c>
      <c r="AR17" s="23">
        <f t="shared" si="2"/>
        <v>10</v>
      </c>
    </row>
    <row r="18" spans="1:44" x14ac:dyDescent="0.2">
      <c r="A18" s="10">
        <v>1</v>
      </c>
      <c r="B18" s="1" t="s">
        <v>54</v>
      </c>
      <c r="C18" s="2" t="s">
        <v>55</v>
      </c>
      <c r="D18" s="1" t="s">
        <v>56</v>
      </c>
      <c r="E18" s="3" t="s">
        <v>35</v>
      </c>
      <c r="F18" s="5">
        <v>46174</v>
      </c>
      <c r="G18" s="5">
        <v>46174</v>
      </c>
      <c r="H18" s="23" t="s">
        <v>131</v>
      </c>
      <c r="I18" s="23" t="s">
        <v>131</v>
      </c>
      <c r="J18" s="23" t="s">
        <v>130</v>
      </c>
      <c r="K18" s="23" t="s">
        <v>130</v>
      </c>
      <c r="L18" s="23" t="s">
        <v>132</v>
      </c>
      <c r="M18" s="23" t="s">
        <v>129</v>
      </c>
      <c r="N18" s="23" t="s">
        <v>156</v>
      </c>
      <c r="O18" s="23" t="s">
        <v>156</v>
      </c>
      <c r="P18" s="24" t="s">
        <v>130</v>
      </c>
      <c r="Q18" s="23" t="s">
        <v>156</v>
      </c>
      <c r="R18" s="23" t="s">
        <v>156</v>
      </c>
      <c r="S18" s="23" t="s">
        <v>156</v>
      </c>
      <c r="T18" s="24" t="s">
        <v>130</v>
      </c>
      <c r="U18" s="24" t="s">
        <v>130</v>
      </c>
      <c r="V18" s="23" t="s">
        <v>155</v>
      </c>
      <c r="W18" s="23" t="s">
        <v>155</v>
      </c>
      <c r="X18" s="23" t="s">
        <v>155</v>
      </c>
      <c r="Y18" s="23" t="s">
        <v>155</v>
      </c>
      <c r="Z18" s="23" t="s">
        <v>155</v>
      </c>
      <c r="AA18" s="24" t="s">
        <v>130</v>
      </c>
      <c r="AB18" s="24" t="s">
        <v>130</v>
      </c>
      <c r="AC18" s="23" t="s">
        <v>155</v>
      </c>
      <c r="AD18" s="23" t="s">
        <v>155</v>
      </c>
      <c r="AE18" s="23" t="s">
        <v>155</v>
      </c>
      <c r="AF18" s="23" t="s">
        <v>155</v>
      </c>
      <c r="AG18" s="23" t="s">
        <v>155</v>
      </c>
      <c r="AH18" s="24" t="s">
        <v>130</v>
      </c>
      <c r="AI18" s="24" t="s">
        <v>130</v>
      </c>
      <c r="AJ18" s="23" t="s">
        <v>155</v>
      </c>
      <c r="AK18" s="23" t="s">
        <v>155</v>
      </c>
      <c r="AL18" s="23" t="s">
        <v>155</v>
      </c>
      <c r="AM18" s="23" t="s">
        <v>155</v>
      </c>
      <c r="AN18" s="23" t="s">
        <v>155</v>
      </c>
      <c r="AO18" s="24" t="s">
        <v>130</v>
      </c>
      <c r="AP18" s="24" t="s">
        <v>130</v>
      </c>
      <c r="AQ18" s="23" t="s">
        <v>155</v>
      </c>
      <c r="AR18" s="23">
        <f t="shared" si="2"/>
        <v>9</v>
      </c>
    </row>
    <row r="19" spans="1:44" x14ac:dyDescent="0.2">
      <c r="A19" s="10">
        <v>1</v>
      </c>
      <c r="B19" s="1" t="s">
        <v>57</v>
      </c>
      <c r="C19" s="2" t="s">
        <v>58</v>
      </c>
      <c r="D19" s="3" t="s">
        <v>59</v>
      </c>
      <c r="E19" s="3" t="s">
        <v>60</v>
      </c>
      <c r="F19" s="4">
        <v>45418</v>
      </c>
      <c r="G19" s="4">
        <v>45418</v>
      </c>
      <c r="H19" s="23" t="s">
        <v>129</v>
      </c>
      <c r="I19" s="23" t="s">
        <v>129</v>
      </c>
      <c r="J19" s="23" t="s">
        <v>129</v>
      </c>
      <c r="K19" s="23" t="s">
        <v>129</v>
      </c>
      <c r="L19" s="23" t="s">
        <v>129</v>
      </c>
      <c r="M19" s="23" t="s">
        <v>130</v>
      </c>
      <c r="N19" s="23" t="s">
        <v>130</v>
      </c>
      <c r="O19" s="23" t="s">
        <v>162</v>
      </c>
      <c r="P19" s="23" t="s">
        <v>162</v>
      </c>
      <c r="Q19" s="23" t="s">
        <v>155</v>
      </c>
      <c r="R19" s="23" t="s">
        <v>155</v>
      </c>
      <c r="S19" s="23" t="s">
        <v>155</v>
      </c>
      <c r="T19" s="23" t="s">
        <v>130</v>
      </c>
      <c r="U19" s="23" t="s">
        <v>130</v>
      </c>
      <c r="V19" s="23" t="s">
        <v>155</v>
      </c>
      <c r="W19" s="23" t="s">
        <v>155</v>
      </c>
      <c r="X19" s="23" t="s">
        <v>155</v>
      </c>
      <c r="Y19" s="23" t="s">
        <v>155</v>
      </c>
      <c r="Z19" s="23" t="s">
        <v>155</v>
      </c>
      <c r="AA19" s="23" t="s">
        <v>130</v>
      </c>
      <c r="AB19" s="23" t="s">
        <v>130</v>
      </c>
      <c r="AC19" s="23" t="s">
        <v>155</v>
      </c>
      <c r="AD19" s="23" t="s">
        <v>155</v>
      </c>
      <c r="AE19" s="23" t="s">
        <v>155</v>
      </c>
      <c r="AF19" s="23" t="s">
        <v>155</v>
      </c>
      <c r="AG19" s="23" t="s">
        <v>155</v>
      </c>
      <c r="AH19" s="23" t="s">
        <v>130</v>
      </c>
      <c r="AI19" s="23" t="s">
        <v>130</v>
      </c>
      <c r="AJ19" s="23" t="s">
        <v>155</v>
      </c>
      <c r="AK19" s="23" t="s">
        <v>155</v>
      </c>
      <c r="AL19" s="23" t="s">
        <v>155</v>
      </c>
      <c r="AM19" s="23" t="s">
        <v>155</v>
      </c>
      <c r="AN19" s="23" t="s">
        <v>155</v>
      </c>
      <c r="AO19" s="23" t="s">
        <v>130</v>
      </c>
      <c r="AP19" s="23" t="s">
        <v>130</v>
      </c>
      <c r="AQ19" s="23" t="s">
        <v>155</v>
      </c>
      <c r="AR19" s="23">
        <f t="shared" si="2"/>
        <v>9</v>
      </c>
    </row>
    <row r="20" spans="1:44" x14ac:dyDescent="0.2">
      <c r="A20" s="10">
        <v>1</v>
      </c>
      <c r="B20" s="1" t="s">
        <v>61</v>
      </c>
      <c r="C20" s="2" t="s">
        <v>62</v>
      </c>
      <c r="D20" s="1" t="s">
        <v>63</v>
      </c>
      <c r="E20" s="3" t="s">
        <v>60</v>
      </c>
      <c r="F20" s="5">
        <v>46209</v>
      </c>
      <c r="G20" s="5">
        <v>46209</v>
      </c>
      <c r="H20" s="23" t="s">
        <v>129</v>
      </c>
      <c r="I20" s="23" t="s">
        <v>129</v>
      </c>
      <c r="J20" s="23" t="s">
        <v>129</v>
      </c>
      <c r="K20" s="23" t="s">
        <v>129</v>
      </c>
      <c r="L20" s="23" t="s">
        <v>129</v>
      </c>
      <c r="M20" s="23" t="s">
        <v>130</v>
      </c>
      <c r="N20" s="23" t="s">
        <v>130</v>
      </c>
      <c r="O20" s="23" t="s">
        <v>162</v>
      </c>
      <c r="P20" s="23" t="s">
        <v>162</v>
      </c>
      <c r="Q20" s="23" t="s">
        <v>155</v>
      </c>
      <c r="R20" s="23" t="s">
        <v>155</v>
      </c>
      <c r="S20" s="23" t="s">
        <v>155</v>
      </c>
      <c r="T20" s="23" t="s">
        <v>130</v>
      </c>
      <c r="U20" s="23" t="s">
        <v>130</v>
      </c>
      <c r="V20" s="23" t="s">
        <v>155</v>
      </c>
      <c r="W20" s="23" t="s">
        <v>155</v>
      </c>
      <c r="X20" s="23" t="s">
        <v>155</v>
      </c>
      <c r="Y20" s="23" t="s">
        <v>155</v>
      </c>
      <c r="Z20" s="23" t="s">
        <v>155</v>
      </c>
      <c r="AA20" s="23" t="s">
        <v>130</v>
      </c>
      <c r="AB20" s="23" t="s">
        <v>130</v>
      </c>
      <c r="AC20" s="23" t="s">
        <v>155</v>
      </c>
      <c r="AD20" s="23" t="s">
        <v>155</v>
      </c>
      <c r="AE20" s="23" t="s">
        <v>155</v>
      </c>
      <c r="AF20" s="23" t="s">
        <v>155</v>
      </c>
      <c r="AG20" s="23" t="s">
        <v>155</v>
      </c>
      <c r="AH20" s="23" t="s">
        <v>130</v>
      </c>
      <c r="AI20" s="23" t="s">
        <v>130</v>
      </c>
      <c r="AJ20" s="23" t="s">
        <v>155</v>
      </c>
      <c r="AK20" s="23" t="s">
        <v>155</v>
      </c>
      <c r="AL20" s="23" t="s">
        <v>130</v>
      </c>
      <c r="AM20" s="23" t="s">
        <v>155</v>
      </c>
      <c r="AN20" s="23" t="s">
        <v>155</v>
      </c>
      <c r="AO20" s="23" t="s">
        <v>130</v>
      </c>
      <c r="AP20" s="23" t="s">
        <v>155</v>
      </c>
      <c r="AQ20" s="23" t="s">
        <v>155</v>
      </c>
      <c r="AR20" s="23">
        <f t="shared" si="2"/>
        <v>9</v>
      </c>
    </row>
    <row r="21" spans="1:44" x14ac:dyDescent="0.2">
      <c r="A21" s="10">
        <v>1</v>
      </c>
      <c r="B21" s="1" t="s">
        <v>64</v>
      </c>
      <c r="C21" s="2" t="s">
        <v>65</v>
      </c>
      <c r="D21" s="1" t="s">
        <v>66</v>
      </c>
      <c r="E21" s="3" t="s">
        <v>60</v>
      </c>
      <c r="F21" s="5">
        <v>46209</v>
      </c>
      <c r="G21" s="5">
        <v>46209</v>
      </c>
      <c r="H21" s="23" t="s">
        <v>130</v>
      </c>
      <c r="I21" s="23" t="s">
        <v>130</v>
      </c>
      <c r="J21" s="23" t="s">
        <v>136</v>
      </c>
      <c r="K21" s="23" t="s">
        <v>136</v>
      </c>
      <c r="L21" s="23" t="s">
        <v>136</v>
      </c>
      <c r="M21" s="23" t="s">
        <v>129</v>
      </c>
      <c r="N21" s="23" t="s">
        <v>162</v>
      </c>
      <c r="O21" s="23" t="s">
        <v>130</v>
      </c>
      <c r="P21" s="23" t="s">
        <v>130</v>
      </c>
      <c r="Q21" s="23" t="s">
        <v>162</v>
      </c>
      <c r="R21" s="23" t="s">
        <v>162</v>
      </c>
      <c r="S21" s="23" t="s">
        <v>155</v>
      </c>
      <c r="T21" s="23" t="s">
        <v>155</v>
      </c>
      <c r="U21" s="23" t="s">
        <v>155</v>
      </c>
      <c r="V21" s="23" t="s">
        <v>130</v>
      </c>
      <c r="W21" s="23" t="s">
        <v>130</v>
      </c>
      <c r="X21" s="23" t="s">
        <v>155</v>
      </c>
      <c r="Y21" s="23" t="s">
        <v>155</v>
      </c>
      <c r="Z21" s="23" t="s">
        <v>155</v>
      </c>
      <c r="AA21" s="23" t="s">
        <v>155</v>
      </c>
      <c r="AB21" s="23" t="s">
        <v>155</v>
      </c>
      <c r="AC21" s="23" t="s">
        <v>130</v>
      </c>
      <c r="AD21" s="23" t="s">
        <v>130</v>
      </c>
      <c r="AE21" s="23" t="s">
        <v>155</v>
      </c>
      <c r="AF21" s="23" t="s">
        <v>155</v>
      </c>
      <c r="AG21" s="23" t="s">
        <v>155</v>
      </c>
      <c r="AH21" s="23" t="s">
        <v>155</v>
      </c>
      <c r="AI21" s="23" t="s">
        <v>155</v>
      </c>
      <c r="AJ21" s="23" t="s">
        <v>130</v>
      </c>
      <c r="AK21" s="23" t="s">
        <v>130</v>
      </c>
      <c r="AL21" s="23" t="s">
        <v>155</v>
      </c>
      <c r="AM21" s="23" t="s">
        <v>155</v>
      </c>
      <c r="AN21" s="23" t="s">
        <v>155</v>
      </c>
      <c r="AO21" s="23" t="s">
        <v>155</v>
      </c>
      <c r="AP21" s="23" t="s">
        <v>155</v>
      </c>
      <c r="AQ21" s="23" t="s">
        <v>130</v>
      </c>
      <c r="AR21" s="23">
        <f t="shared" si="2"/>
        <v>9</v>
      </c>
    </row>
    <row r="22" spans="1:44" x14ac:dyDescent="0.2">
      <c r="A22" s="10">
        <v>1</v>
      </c>
      <c r="B22" s="1" t="s">
        <v>67</v>
      </c>
      <c r="C22" s="2" t="s">
        <v>68</v>
      </c>
      <c r="D22" s="1" t="s">
        <v>69</v>
      </c>
      <c r="E22" s="3" t="s">
        <v>60</v>
      </c>
      <c r="F22" s="5">
        <v>46224</v>
      </c>
      <c r="G22" s="5">
        <v>46224</v>
      </c>
      <c r="H22" s="23" t="s">
        <v>129</v>
      </c>
      <c r="I22" s="23" t="s">
        <v>129</v>
      </c>
      <c r="J22" s="23" t="s">
        <v>129</v>
      </c>
      <c r="K22" s="23" t="s">
        <v>129</v>
      </c>
      <c r="L22" s="23" t="s">
        <v>129</v>
      </c>
      <c r="M22" s="23" t="s">
        <v>130</v>
      </c>
      <c r="N22" s="23" t="s">
        <v>162</v>
      </c>
      <c r="O22" s="23" t="s">
        <v>162</v>
      </c>
      <c r="P22" s="23" t="s">
        <v>162</v>
      </c>
      <c r="Q22" s="23" t="s">
        <v>155</v>
      </c>
      <c r="R22" s="23" t="s">
        <v>155</v>
      </c>
      <c r="S22" s="23" t="s">
        <v>130</v>
      </c>
      <c r="T22" s="23" t="s">
        <v>130</v>
      </c>
      <c r="U22" s="23" t="s">
        <v>155</v>
      </c>
      <c r="V22" s="23" t="s">
        <v>155</v>
      </c>
      <c r="W22" s="23" t="s">
        <v>155</v>
      </c>
      <c r="X22" s="23" t="s">
        <v>155</v>
      </c>
      <c r="Y22" s="23" t="s">
        <v>155</v>
      </c>
      <c r="Z22" s="23" t="s">
        <v>130</v>
      </c>
      <c r="AA22" s="23" t="s">
        <v>130</v>
      </c>
      <c r="AB22" s="23" t="s">
        <v>155</v>
      </c>
      <c r="AC22" s="23" t="s">
        <v>155</v>
      </c>
      <c r="AD22" s="23" t="s">
        <v>155</v>
      </c>
      <c r="AE22" s="23" t="s">
        <v>155</v>
      </c>
      <c r="AF22" s="23" t="s">
        <v>155</v>
      </c>
      <c r="AG22" s="23" t="s">
        <v>130</v>
      </c>
      <c r="AH22" s="23" t="s">
        <v>130</v>
      </c>
      <c r="AI22" s="23" t="s">
        <v>155</v>
      </c>
      <c r="AJ22" s="23" t="s">
        <v>155</v>
      </c>
      <c r="AK22" s="23" t="s">
        <v>155</v>
      </c>
      <c r="AL22" s="23" t="s">
        <v>155</v>
      </c>
      <c r="AM22" s="23" t="s">
        <v>155</v>
      </c>
      <c r="AN22" s="23" t="s">
        <v>130</v>
      </c>
      <c r="AO22" s="23" t="s">
        <v>130</v>
      </c>
      <c r="AP22" s="23" t="s">
        <v>155</v>
      </c>
      <c r="AQ22" s="23" t="s">
        <v>155</v>
      </c>
      <c r="AR22" s="23">
        <f t="shared" si="2"/>
        <v>8</v>
      </c>
    </row>
    <row r="23" spans="1:44" x14ac:dyDescent="0.2">
      <c r="A23" s="10">
        <v>1</v>
      </c>
      <c r="B23" s="1" t="s">
        <v>70</v>
      </c>
      <c r="C23" s="2" t="s">
        <v>71</v>
      </c>
      <c r="D23" s="1" t="s">
        <v>72</v>
      </c>
      <c r="E23" s="3" t="s">
        <v>60</v>
      </c>
      <c r="F23" s="5">
        <v>46272</v>
      </c>
      <c r="G23" s="5">
        <v>46272</v>
      </c>
      <c r="H23" s="23" t="s">
        <v>130</v>
      </c>
      <c r="I23" s="23" t="s">
        <v>132</v>
      </c>
      <c r="J23" s="23" t="s">
        <v>132</v>
      </c>
      <c r="K23" s="23" t="s">
        <v>132</v>
      </c>
      <c r="L23" s="23" t="s">
        <v>132</v>
      </c>
      <c r="M23" s="23" t="s">
        <v>132</v>
      </c>
      <c r="N23" s="23" t="s">
        <v>130</v>
      </c>
      <c r="O23" s="23" t="s">
        <v>162</v>
      </c>
      <c r="P23" s="23" t="s">
        <v>130</v>
      </c>
      <c r="Q23" s="23" t="s">
        <v>130</v>
      </c>
      <c r="R23" s="23" t="s">
        <v>155</v>
      </c>
      <c r="S23" s="23" t="s">
        <v>155</v>
      </c>
      <c r="T23" s="23" t="s">
        <v>155</v>
      </c>
      <c r="U23" s="23" t="s">
        <v>155</v>
      </c>
      <c r="V23" s="23" t="s">
        <v>155</v>
      </c>
      <c r="W23" s="23" t="s">
        <v>130</v>
      </c>
      <c r="X23" s="23" t="s">
        <v>130</v>
      </c>
      <c r="Y23" s="23" t="s">
        <v>155</v>
      </c>
      <c r="Z23" s="23" t="s">
        <v>155</v>
      </c>
      <c r="AA23" s="23" t="s">
        <v>155</v>
      </c>
      <c r="AB23" s="23" t="s">
        <v>155</v>
      </c>
      <c r="AC23" s="23" t="s">
        <v>155</v>
      </c>
      <c r="AD23" s="23" t="s">
        <v>130</v>
      </c>
      <c r="AE23" s="23" t="s">
        <v>130</v>
      </c>
      <c r="AF23" s="23" t="s">
        <v>155</v>
      </c>
      <c r="AG23" s="23" t="s">
        <v>155</v>
      </c>
      <c r="AH23" s="23" t="s">
        <v>155</v>
      </c>
      <c r="AI23" s="23" t="s">
        <v>155</v>
      </c>
      <c r="AJ23" s="23" t="s">
        <v>155</v>
      </c>
      <c r="AK23" s="23" t="s">
        <v>130</v>
      </c>
      <c r="AL23" s="23" t="s">
        <v>130</v>
      </c>
      <c r="AM23" s="23" t="s">
        <v>155</v>
      </c>
      <c r="AN23" s="23" t="s">
        <v>155</v>
      </c>
      <c r="AO23" s="23" t="s">
        <v>155</v>
      </c>
      <c r="AP23" s="23" t="s">
        <v>155</v>
      </c>
      <c r="AQ23" s="23" t="s">
        <v>155</v>
      </c>
      <c r="AR23" s="23">
        <f t="shared" si="2"/>
        <v>9</v>
      </c>
    </row>
    <row r="24" spans="1:44" x14ac:dyDescent="0.2">
      <c r="A24" s="10">
        <v>1</v>
      </c>
      <c r="B24" s="1" t="s">
        <v>73</v>
      </c>
      <c r="C24" s="2" t="s">
        <v>74</v>
      </c>
      <c r="D24" s="3" t="s">
        <v>75</v>
      </c>
      <c r="E24" s="3" t="s">
        <v>60</v>
      </c>
      <c r="F24" s="5">
        <v>45054</v>
      </c>
      <c r="G24" s="5">
        <v>45819</v>
      </c>
      <c r="H24" s="23" t="s">
        <v>129</v>
      </c>
      <c r="I24" s="23" t="s">
        <v>129</v>
      </c>
      <c r="J24" s="23" t="s">
        <v>129</v>
      </c>
      <c r="K24" s="23" t="s">
        <v>129</v>
      </c>
      <c r="L24" s="23" t="s">
        <v>129</v>
      </c>
      <c r="M24" s="23" t="s">
        <v>130</v>
      </c>
      <c r="N24" s="23" t="s">
        <v>130</v>
      </c>
      <c r="O24" s="23" t="s">
        <v>162</v>
      </c>
      <c r="P24" s="23" t="s">
        <v>162</v>
      </c>
      <c r="Q24" s="23" t="s">
        <v>155</v>
      </c>
      <c r="R24" s="23" t="s">
        <v>155</v>
      </c>
      <c r="S24" s="23" t="s">
        <v>155</v>
      </c>
      <c r="T24" s="23" t="s">
        <v>130</v>
      </c>
      <c r="U24" s="23" t="s">
        <v>130</v>
      </c>
      <c r="V24" s="23" t="s">
        <v>155</v>
      </c>
      <c r="W24" s="23" t="s">
        <v>155</v>
      </c>
      <c r="X24" s="23" t="s">
        <v>155</v>
      </c>
      <c r="Y24" s="23" t="s">
        <v>155</v>
      </c>
      <c r="Z24" s="23" t="s">
        <v>155</v>
      </c>
      <c r="AA24" s="23" t="s">
        <v>130</v>
      </c>
      <c r="AB24" s="23" t="s">
        <v>130</v>
      </c>
      <c r="AC24" s="23" t="s">
        <v>155</v>
      </c>
      <c r="AD24" s="23" t="s">
        <v>155</v>
      </c>
      <c r="AE24" s="23" t="s">
        <v>155</v>
      </c>
      <c r="AF24" s="23" t="s">
        <v>155</v>
      </c>
      <c r="AG24" s="23" t="s">
        <v>155</v>
      </c>
      <c r="AH24" s="23" t="s">
        <v>130</v>
      </c>
      <c r="AI24" s="23" t="s">
        <v>130</v>
      </c>
      <c r="AJ24" s="23" t="s">
        <v>155</v>
      </c>
      <c r="AK24" s="23" t="s">
        <v>155</v>
      </c>
      <c r="AL24" s="23" t="s">
        <v>155</v>
      </c>
      <c r="AM24" s="23" t="s">
        <v>155</v>
      </c>
      <c r="AN24" s="23" t="s">
        <v>155</v>
      </c>
      <c r="AO24" s="23" t="s">
        <v>130</v>
      </c>
      <c r="AP24" s="23" t="s">
        <v>130</v>
      </c>
      <c r="AQ24" s="23" t="s">
        <v>155</v>
      </c>
      <c r="AR24" s="23">
        <f t="shared" si="2"/>
        <v>9</v>
      </c>
    </row>
    <row r="25" spans="1:44" x14ac:dyDescent="0.2">
      <c r="A25" s="10">
        <v>1</v>
      </c>
      <c r="B25" s="1" t="s">
        <v>76</v>
      </c>
      <c r="C25" s="2" t="s">
        <v>77</v>
      </c>
      <c r="D25" s="3" t="s">
        <v>78</v>
      </c>
      <c r="E25" s="3" t="s">
        <v>60</v>
      </c>
      <c r="F25" s="5">
        <v>45887</v>
      </c>
      <c r="G25" s="5">
        <v>45887</v>
      </c>
      <c r="H25" s="23" t="s">
        <v>132</v>
      </c>
      <c r="I25" s="23" t="s">
        <v>132</v>
      </c>
      <c r="J25" s="23" t="s">
        <v>130</v>
      </c>
      <c r="K25" s="23" t="s">
        <v>130</v>
      </c>
      <c r="L25" s="23" t="s">
        <v>132</v>
      </c>
      <c r="M25" s="23" t="s">
        <v>132</v>
      </c>
      <c r="N25" s="23" t="s">
        <v>138</v>
      </c>
      <c r="O25" s="23" t="s">
        <v>138</v>
      </c>
      <c r="P25" s="23" t="s">
        <v>138</v>
      </c>
      <c r="Q25" s="24" t="s">
        <v>130</v>
      </c>
      <c r="R25" s="24" t="s">
        <v>130</v>
      </c>
      <c r="S25" s="23" t="s">
        <v>137</v>
      </c>
      <c r="T25" s="23" t="s">
        <v>138</v>
      </c>
      <c r="U25" s="23" t="s">
        <v>138</v>
      </c>
      <c r="V25" s="23" t="s">
        <v>138</v>
      </c>
      <c r="W25" s="23" t="s">
        <v>138</v>
      </c>
      <c r="X25" s="24" t="s">
        <v>130</v>
      </c>
      <c r="Y25" s="24" t="s">
        <v>130</v>
      </c>
      <c r="Z25" s="23" t="s">
        <v>138</v>
      </c>
      <c r="AA25" s="23" t="s">
        <v>138</v>
      </c>
      <c r="AB25" s="23" t="s">
        <v>138</v>
      </c>
      <c r="AC25" s="23" t="s">
        <v>138</v>
      </c>
      <c r="AD25" s="23" t="s">
        <v>138</v>
      </c>
      <c r="AE25" s="24" t="s">
        <v>130</v>
      </c>
      <c r="AF25" s="24" t="s">
        <v>130</v>
      </c>
      <c r="AG25" s="23" t="s">
        <v>138</v>
      </c>
      <c r="AH25" s="23" t="s">
        <v>138</v>
      </c>
      <c r="AI25" s="23" t="s">
        <v>138</v>
      </c>
      <c r="AJ25" s="23" t="s">
        <v>138</v>
      </c>
      <c r="AK25" s="23" t="s">
        <v>138</v>
      </c>
      <c r="AL25" s="24" t="s">
        <v>130</v>
      </c>
      <c r="AM25" s="24" t="s">
        <v>130</v>
      </c>
      <c r="AN25" s="23" t="s">
        <v>138</v>
      </c>
      <c r="AO25" s="23" t="s">
        <v>138</v>
      </c>
      <c r="AP25" s="23" t="s">
        <v>138</v>
      </c>
      <c r="AQ25" s="23" t="s">
        <v>138</v>
      </c>
      <c r="AR25" s="23">
        <f t="shared" si="2"/>
        <v>8</v>
      </c>
    </row>
    <row r="26" spans="1:44" x14ac:dyDescent="0.2">
      <c r="A26" s="10">
        <v>1</v>
      </c>
      <c r="B26" s="1" t="s">
        <v>79</v>
      </c>
      <c r="C26" s="2" t="s">
        <v>80</v>
      </c>
      <c r="D26" s="3" t="s">
        <v>81</v>
      </c>
      <c r="E26" s="3" t="s">
        <v>60</v>
      </c>
      <c r="F26" s="5">
        <v>45964</v>
      </c>
      <c r="G26" s="5">
        <v>45964</v>
      </c>
      <c r="H26" s="23" t="s">
        <v>132</v>
      </c>
      <c r="I26" s="23" t="s">
        <v>132</v>
      </c>
      <c r="J26" s="23" t="s">
        <v>132</v>
      </c>
      <c r="K26" s="23" t="s">
        <v>130</v>
      </c>
      <c r="L26" s="23" t="s">
        <v>130</v>
      </c>
      <c r="M26" s="23" t="s">
        <v>132</v>
      </c>
      <c r="N26" s="23" t="s">
        <v>138</v>
      </c>
      <c r="O26" s="23" t="s">
        <v>164</v>
      </c>
      <c r="P26" s="24" t="s">
        <v>130</v>
      </c>
      <c r="Q26" s="24" t="s">
        <v>130</v>
      </c>
      <c r="R26" s="23" t="s">
        <v>137</v>
      </c>
      <c r="S26" s="23" t="s">
        <v>138</v>
      </c>
      <c r="T26" s="23" t="s">
        <v>137</v>
      </c>
      <c r="U26" s="23" t="s">
        <v>138</v>
      </c>
      <c r="V26" s="23" t="s">
        <v>138</v>
      </c>
      <c r="W26" s="24" t="s">
        <v>130</v>
      </c>
      <c r="X26" s="24" t="s">
        <v>130</v>
      </c>
      <c r="Y26" s="23" t="s">
        <v>138</v>
      </c>
      <c r="Z26" s="23" t="s">
        <v>138</v>
      </c>
      <c r="AA26" s="23" t="s">
        <v>138</v>
      </c>
      <c r="AB26" s="23" t="s">
        <v>138</v>
      </c>
      <c r="AC26" s="23" t="s">
        <v>138</v>
      </c>
      <c r="AD26" s="24" t="s">
        <v>130</v>
      </c>
      <c r="AE26" s="24" t="s">
        <v>130</v>
      </c>
      <c r="AF26" s="23" t="s">
        <v>138</v>
      </c>
      <c r="AG26" s="23" t="s">
        <v>138</v>
      </c>
      <c r="AH26" s="23" t="s">
        <v>138</v>
      </c>
      <c r="AI26" s="23" t="s">
        <v>138</v>
      </c>
      <c r="AJ26" s="23" t="s">
        <v>138</v>
      </c>
      <c r="AK26" s="24" t="s">
        <v>130</v>
      </c>
      <c r="AL26" s="24" t="s">
        <v>130</v>
      </c>
      <c r="AM26" s="23" t="s">
        <v>138</v>
      </c>
      <c r="AN26" s="23" t="s">
        <v>138</v>
      </c>
      <c r="AO26" s="23" t="s">
        <v>138</v>
      </c>
      <c r="AP26" s="23" t="s">
        <v>138</v>
      </c>
      <c r="AQ26" s="23" t="s">
        <v>138</v>
      </c>
      <c r="AR26" s="23">
        <f t="shared" si="2"/>
        <v>8</v>
      </c>
    </row>
    <row r="27" spans="1:44" x14ac:dyDescent="0.2">
      <c r="A27" s="10">
        <v>1</v>
      </c>
      <c r="B27" s="1" t="s">
        <v>82</v>
      </c>
      <c r="C27" s="2" t="s">
        <v>83</v>
      </c>
      <c r="D27" s="3" t="s">
        <v>84</v>
      </c>
      <c r="E27" s="3" t="s">
        <v>60</v>
      </c>
      <c r="F27" s="5">
        <v>46139</v>
      </c>
      <c r="G27" s="5">
        <v>46139</v>
      </c>
      <c r="H27" s="23" t="s">
        <v>137</v>
      </c>
      <c r="I27" s="23" t="s">
        <v>138</v>
      </c>
      <c r="J27" s="23" t="s">
        <v>138</v>
      </c>
      <c r="K27" s="23" t="s">
        <v>138</v>
      </c>
      <c r="L27" s="23" t="s">
        <v>138</v>
      </c>
      <c r="M27" s="23" t="s">
        <v>130</v>
      </c>
      <c r="N27" s="23" t="s">
        <v>137</v>
      </c>
      <c r="O27" s="23" t="s">
        <v>138</v>
      </c>
      <c r="P27" s="23" t="s">
        <v>138</v>
      </c>
      <c r="Q27" s="23" t="s">
        <v>138</v>
      </c>
      <c r="R27" s="24" t="s">
        <v>130</v>
      </c>
      <c r="S27" s="24" t="s">
        <v>130</v>
      </c>
      <c r="T27" s="24" t="s">
        <v>130</v>
      </c>
      <c r="U27" s="23" t="s">
        <v>165</v>
      </c>
      <c r="V27" s="23" t="s">
        <v>138</v>
      </c>
      <c r="W27" s="23" t="s">
        <v>138</v>
      </c>
      <c r="X27" s="23" t="s">
        <v>138</v>
      </c>
      <c r="Y27" s="23" t="s">
        <v>138</v>
      </c>
      <c r="Z27" s="24" t="s">
        <v>130</v>
      </c>
      <c r="AA27" s="24" t="s">
        <v>130</v>
      </c>
      <c r="AB27" s="23" t="s">
        <v>138</v>
      </c>
      <c r="AC27" s="23" t="s">
        <v>138</v>
      </c>
      <c r="AD27" s="23" t="s">
        <v>138</v>
      </c>
      <c r="AE27" s="23" t="s">
        <v>138</v>
      </c>
      <c r="AF27" s="23" t="s">
        <v>138</v>
      </c>
      <c r="AG27" s="24" t="s">
        <v>130</v>
      </c>
      <c r="AH27" s="24" t="s">
        <v>130</v>
      </c>
      <c r="AI27" s="23" t="s">
        <v>138</v>
      </c>
      <c r="AJ27" s="23" t="s">
        <v>138</v>
      </c>
      <c r="AK27" s="24" t="s">
        <v>130</v>
      </c>
      <c r="AL27" s="23" t="s">
        <v>138</v>
      </c>
      <c r="AM27" s="23" t="s">
        <v>138</v>
      </c>
      <c r="AN27" s="24" t="s">
        <v>130</v>
      </c>
      <c r="AO27" s="23" t="s">
        <v>138</v>
      </c>
      <c r="AP27" s="23" t="s">
        <v>138</v>
      </c>
      <c r="AQ27" s="23" t="s">
        <v>138</v>
      </c>
      <c r="AR27" s="23">
        <f t="shared" si="2"/>
        <v>9</v>
      </c>
    </row>
    <row r="28" spans="1:44" x14ac:dyDescent="0.2">
      <c r="A28" s="10">
        <v>1</v>
      </c>
      <c r="B28" s="1" t="s">
        <v>85</v>
      </c>
      <c r="C28" s="2" t="s">
        <v>86</v>
      </c>
      <c r="D28" s="1" t="s">
        <v>87</v>
      </c>
      <c r="E28" s="3" t="s">
        <v>60</v>
      </c>
      <c r="F28" s="5">
        <v>46125</v>
      </c>
      <c r="G28" s="5">
        <v>46125</v>
      </c>
      <c r="H28" s="23" t="s">
        <v>129</v>
      </c>
      <c r="I28" s="23" t="s">
        <v>129</v>
      </c>
      <c r="J28" s="23" t="s">
        <v>130</v>
      </c>
      <c r="K28" s="23" t="s">
        <v>130</v>
      </c>
      <c r="L28" s="23" t="s">
        <v>129</v>
      </c>
      <c r="M28" s="23" t="s">
        <v>129</v>
      </c>
      <c r="N28" s="23" t="s">
        <v>163</v>
      </c>
      <c r="O28" s="23" t="s">
        <v>163</v>
      </c>
      <c r="P28" s="23" t="s">
        <v>163</v>
      </c>
      <c r="Q28" s="24" t="s">
        <v>130</v>
      </c>
      <c r="R28" s="23" t="s">
        <v>163</v>
      </c>
      <c r="S28" s="23" t="s">
        <v>163</v>
      </c>
      <c r="T28" s="24" t="s">
        <v>130</v>
      </c>
      <c r="U28" s="24" t="s">
        <v>130</v>
      </c>
      <c r="V28" s="23" t="s">
        <v>163</v>
      </c>
      <c r="W28" s="23" t="s">
        <v>163</v>
      </c>
      <c r="X28" s="23" t="s">
        <v>161</v>
      </c>
      <c r="Y28" s="23" t="s">
        <v>161</v>
      </c>
      <c r="Z28" s="23" t="s">
        <v>161</v>
      </c>
      <c r="AA28" s="24" t="s">
        <v>130</v>
      </c>
      <c r="AB28" s="24" t="s">
        <v>130</v>
      </c>
      <c r="AC28" s="23" t="s">
        <v>161</v>
      </c>
      <c r="AD28" s="23" t="s">
        <v>161</v>
      </c>
      <c r="AE28" s="23" t="s">
        <v>161</v>
      </c>
      <c r="AF28" s="23" t="s">
        <v>161</v>
      </c>
      <c r="AG28" s="23" t="s">
        <v>161</v>
      </c>
      <c r="AH28" s="24" t="s">
        <v>130</v>
      </c>
      <c r="AI28" s="24" t="s">
        <v>130</v>
      </c>
      <c r="AJ28" s="23" t="s">
        <v>161</v>
      </c>
      <c r="AK28" s="23" t="s">
        <v>161</v>
      </c>
      <c r="AL28" s="23" t="s">
        <v>161</v>
      </c>
      <c r="AM28" s="23" t="s">
        <v>161</v>
      </c>
      <c r="AN28" s="23" t="s">
        <v>161</v>
      </c>
      <c r="AO28" s="24" t="s">
        <v>130</v>
      </c>
      <c r="AP28" s="24" t="s">
        <v>130</v>
      </c>
      <c r="AQ28" s="23" t="s">
        <v>161</v>
      </c>
      <c r="AR28" s="23">
        <f t="shared" si="2"/>
        <v>9</v>
      </c>
    </row>
    <row r="29" spans="1:44" x14ac:dyDescent="0.2">
      <c r="A29" s="10">
        <v>1</v>
      </c>
      <c r="B29" s="1" t="s">
        <v>88</v>
      </c>
      <c r="C29" s="2" t="s">
        <v>89</v>
      </c>
      <c r="D29" s="1" t="s">
        <v>90</v>
      </c>
      <c r="E29" s="3" t="s">
        <v>60</v>
      </c>
      <c r="F29" s="5">
        <v>46139</v>
      </c>
      <c r="G29" s="5">
        <v>46139</v>
      </c>
      <c r="H29" s="23" t="s">
        <v>130</v>
      </c>
      <c r="I29" s="23" t="s">
        <v>130</v>
      </c>
      <c r="J29" s="23" t="s">
        <v>131</v>
      </c>
      <c r="K29" s="23" t="s">
        <v>131</v>
      </c>
      <c r="L29" s="23" t="s">
        <v>131</v>
      </c>
      <c r="M29" s="23" t="s">
        <v>129</v>
      </c>
      <c r="N29" s="23" t="s">
        <v>155</v>
      </c>
      <c r="O29" s="23" t="s">
        <v>130</v>
      </c>
      <c r="P29" s="23" t="s">
        <v>162</v>
      </c>
      <c r="Q29" s="23" t="s">
        <v>162</v>
      </c>
      <c r="R29" s="23" t="s">
        <v>130</v>
      </c>
      <c r="S29" s="23" t="s">
        <v>130</v>
      </c>
      <c r="T29" s="23" t="s">
        <v>155</v>
      </c>
      <c r="U29" s="23" t="s">
        <v>155</v>
      </c>
      <c r="V29" s="23" t="s">
        <v>155</v>
      </c>
      <c r="W29" s="23" t="s">
        <v>155</v>
      </c>
      <c r="X29" s="23" t="s">
        <v>155</v>
      </c>
      <c r="Y29" s="23" t="s">
        <v>130</v>
      </c>
      <c r="Z29" s="23" t="s">
        <v>130</v>
      </c>
      <c r="AA29" s="23" t="s">
        <v>155</v>
      </c>
      <c r="AB29" s="23" t="s">
        <v>155</v>
      </c>
      <c r="AC29" s="23" t="s">
        <v>155</v>
      </c>
      <c r="AD29" s="23" t="s">
        <v>155</v>
      </c>
      <c r="AE29" s="23" t="s">
        <v>155</v>
      </c>
      <c r="AF29" s="23" t="s">
        <v>130</v>
      </c>
      <c r="AG29" s="23" t="s">
        <v>130</v>
      </c>
      <c r="AH29" s="23" t="s">
        <v>155</v>
      </c>
      <c r="AI29" s="23" t="s">
        <v>155</v>
      </c>
      <c r="AJ29" s="23" t="s">
        <v>155</v>
      </c>
      <c r="AK29" s="23" t="s">
        <v>155</v>
      </c>
      <c r="AL29" s="23" t="s">
        <v>155</v>
      </c>
      <c r="AM29" s="23" t="s">
        <v>130</v>
      </c>
      <c r="AN29" s="23" t="s">
        <v>130</v>
      </c>
      <c r="AO29" s="23" t="s">
        <v>155</v>
      </c>
      <c r="AP29" s="23" t="s">
        <v>155</v>
      </c>
      <c r="AQ29" s="23" t="s">
        <v>155</v>
      </c>
      <c r="AR29" s="23">
        <f t="shared" si="2"/>
        <v>9</v>
      </c>
    </row>
    <row r="30" spans="1:44" x14ac:dyDescent="0.2">
      <c r="A30" s="10">
        <v>1</v>
      </c>
      <c r="B30" s="1" t="s">
        <v>91</v>
      </c>
      <c r="C30" s="2" t="s">
        <v>92</v>
      </c>
      <c r="D30" s="1" t="s">
        <v>93</v>
      </c>
      <c r="E30" s="3" t="s">
        <v>60</v>
      </c>
      <c r="F30" s="5">
        <v>46139</v>
      </c>
      <c r="G30" s="5">
        <v>46139</v>
      </c>
      <c r="H30" s="23" t="s">
        <v>132</v>
      </c>
      <c r="I30" s="23" t="s">
        <v>130</v>
      </c>
      <c r="J30" s="23" t="s">
        <v>130</v>
      </c>
      <c r="K30" s="23" t="s">
        <v>131</v>
      </c>
      <c r="L30" s="23" t="s">
        <v>131</v>
      </c>
      <c r="M30" s="23" t="s">
        <v>132</v>
      </c>
      <c r="N30" s="23" t="s">
        <v>137</v>
      </c>
      <c r="O30" s="23" t="s">
        <v>138</v>
      </c>
      <c r="P30" s="23" t="s">
        <v>138</v>
      </c>
      <c r="Q30" s="23" t="s">
        <v>130</v>
      </c>
      <c r="R30" s="23" t="s">
        <v>130</v>
      </c>
      <c r="S30" s="23" t="s">
        <v>130</v>
      </c>
      <c r="T30" s="23" t="s">
        <v>137</v>
      </c>
      <c r="U30" s="23" t="s">
        <v>138</v>
      </c>
      <c r="V30" s="23" t="s">
        <v>138</v>
      </c>
      <c r="W30" s="23" t="s">
        <v>138</v>
      </c>
      <c r="X30" s="23" t="s">
        <v>138</v>
      </c>
      <c r="Y30" s="24" t="s">
        <v>130</v>
      </c>
      <c r="Z30" s="24" t="s">
        <v>130</v>
      </c>
      <c r="AA30" s="23" t="s">
        <v>138</v>
      </c>
      <c r="AB30" s="23" t="s">
        <v>138</v>
      </c>
      <c r="AC30" s="23" t="s">
        <v>138</v>
      </c>
      <c r="AD30" s="23" t="s">
        <v>138</v>
      </c>
      <c r="AE30" s="23" t="s">
        <v>138</v>
      </c>
      <c r="AF30" s="24" t="s">
        <v>130</v>
      </c>
      <c r="AG30" s="24" t="s">
        <v>130</v>
      </c>
      <c r="AH30" s="23" t="s">
        <v>138</v>
      </c>
      <c r="AI30" s="23" t="s">
        <v>138</v>
      </c>
      <c r="AJ30" s="23" t="s">
        <v>138</v>
      </c>
      <c r="AK30" s="23" t="s">
        <v>138</v>
      </c>
      <c r="AL30" s="23" t="s">
        <v>138</v>
      </c>
      <c r="AM30" s="24" t="s">
        <v>130</v>
      </c>
      <c r="AN30" s="24" t="s">
        <v>130</v>
      </c>
      <c r="AO30" s="23" t="s">
        <v>138</v>
      </c>
      <c r="AP30" s="23" t="s">
        <v>138</v>
      </c>
      <c r="AQ30" s="23" t="s">
        <v>138</v>
      </c>
      <c r="AR30" s="23">
        <f t="shared" si="2"/>
        <v>9</v>
      </c>
    </row>
    <row r="31" spans="1:44" x14ac:dyDescent="0.2">
      <c r="A31" s="10">
        <v>1</v>
      </c>
      <c r="B31" s="1" t="s">
        <v>94</v>
      </c>
      <c r="C31" s="2" t="s">
        <v>95</v>
      </c>
      <c r="D31" s="1" t="s">
        <v>96</v>
      </c>
      <c r="E31" s="3" t="s">
        <v>60</v>
      </c>
      <c r="F31" s="5">
        <v>46209</v>
      </c>
      <c r="G31" s="5">
        <v>46209</v>
      </c>
      <c r="H31" s="23" t="s">
        <v>132</v>
      </c>
      <c r="I31" s="23" t="s">
        <v>132</v>
      </c>
      <c r="J31" s="23" t="s">
        <v>132</v>
      </c>
      <c r="K31" s="23" t="s">
        <v>132</v>
      </c>
      <c r="L31" s="23" t="s">
        <v>132</v>
      </c>
      <c r="M31" s="23" t="s">
        <v>130</v>
      </c>
      <c r="N31" s="23" t="s">
        <v>130</v>
      </c>
      <c r="O31" s="23" t="s">
        <v>137</v>
      </c>
      <c r="P31" s="24" t="s">
        <v>130</v>
      </c>
      <c r="Q31" s="23" t="s">
        <v>138</v>
      </c>
      <c r="R31" s="23" t="s">
        <v>138</v>
      </c>
      <c r="S31" s="23" t="s">
        <v>138</v>
      </c>
      <c r="T31" s="23" t="s">
        <v>138</v>
      </c>
      <c r="U31" s="24" t="s">
        <v>130</v>
      </c>
      <c r="V31" s="24" t="s">
        <v>130</v>
      </c>
      <c r="W31" s="23" t="s">
        <v>138</v>
      </c>
      <c r="X31" s="23" t="s">
        <v>138</v>
      </c>
      <c r="Y31" s="23" t="s">
        <v>138</v>
      </c>
      <c r="Z31" s="23" t="s">
        <v>138</v>
      </c>
      <c r="AA31" s="23" t="s">
        <v>138</v>
      </c>
      <c r="AB31" s="24" t="s">
        <v>130</v>
      </c>
      <c r="AC31" s="24" t="s">
        <v>130</v>
      </c>
      <c r="AD31" s="23" t="s">
        <v>138</v>
      </c>
      <c r="AE31" s="23" t="s">
        <v>138</v>
      </c>
      <c r="AF31" s="23" t="s">
        <v>138</v>
      </c>
      <c r="AG31" s="23" t="s">
        <v>138</v>
      </c>
      <c r="AH31" s="23" t="s">
        <v>138</v>
      </c>
      <c r="AI31" s="24" t="s">
        <v>130</v>
      </c>
      <c r="AJ31" s="24" t="s">
        <v>130</v>
      </c>
      <c r="AK31" s="23" t="s">
        <v>138</v>
      </c>
      <c r="AL31" s="23" t="s">
        <v>138</v>
      </c>
      <c r="AM31" s="23" t="s">
        <v>138</v>
      </c>
      <c r="AN31" s="23" t="s">
        <v>138</v>
      </c>
      <c r="AO31" s="23" t="s">
        <v>138</v>
      </c>
      <c r="AP31" s="24" t="s">
        <v>130</v>
      </c>
      <c r="AQ31" s="24" t="s">
        <v>130</v>
      </c>
      <c r="AR31" s="23">
        <f t="shared" si="2"/>
        <v>10</v>
      </c>
    </row>
    <row r="32" spans="1:44" x14ac:dyDescent="0.2">
      <c r="A32" s="10">
        <v>1</v>
      </c>
      <c r="B32" s="1" t="s">
        <v>97</v>
      </c>
      <c r="C32" s="2" t="s">
        <v>98</v>
      </c>
      <c r="D32" s="1" t="s">
        <v>99</v>
      </c>
      <c r="E32" s="3" t="s">
        <v>60</v>
      </c>
      <c r="F32" s="5">
        <v>46237</v>
      </c>
      <c r="G32" s="5">
        <v>46237</v>
      </c>
      <c r="H32" s="23" t="s">
        <v>132</v>
      </c>
      <c r="I32" s="23" t="s">
        <v>130</v>
      </c>
      <c r="J32" s="23" t="s">
        <v>130</v>
      </c>
      <c r="K32" s="23" t="s">
        <v>130</v>
      </c>
      <c r="L32" s="23" t="s">
        <v>132</v>
      </c>
      <c r="M32" s="23" t="s">
        <v>132</v>
      </c>
      <c r="N32" s="23" t="s">
        <v>137</v>
      </c>
      <c r="O32" s="23" t="s">
        <v>138</v>
      </c>
      <c r="P32" s="24" t="s">
        <v>130</v>
      </c>
      <c r="Q32" s="24" t="s">
        <v>130</v>
      </c>
      <c r="R32" s="23" t="s">
        <v>138</v>
      </c>
      <c r="S32" s="23" t="s">
        <v>138</v>
      </c>
      <c r="T32" s="23" t="s">
        <v>138</v>
      </c>
      <c r="U32" s="23" t="s">
        <v>138</v>
      </c>
      <c r="V32" s="23" t="s">
        <v>138</v>
      </c>
      <c r="W32" s="24" t="s">
        <v>130</v>
      </c>
      <c r="X32" s="24" t="s">
        <v>130</v>
      </c>
      <c r="Y32" s="23" t="s">
        <v>138</v>
      </c>
      <c r="Z32" s="23" t="s">
        <v>138</v>
      </c>
      <c r="AA32" s="23" t="s">
        <v>138</v>
      </c>
      <c r="AB32" s="23" t="s">
        <v>138</v>
      </c>
      <c r="AC32" s="23" t="s">
        <v>138</v>
      </c>
      <c r="AD32" s="24" t="s">
        <v>130</v>
      </c>
      <c r="AE32" s="24" t="s">
        <v>130</v>
      </c>
      <c r="AF32" s="23" t="s">
        <v>138</v>
      </c>
      <c r="AG32" s="23" t="s">
        <v>138</v>
      </c>
      <c r="AH32" s="23" t="s">
        <v>138</v>
      </c>
      <c r="AI32" s="23" t="s">
        <v>138</v>
      </c>
      <c r="AJ32" s="23" t="s">
        <v>138</v>
      </c>
      <c r="AK32" s="24" t="s">
        <v>130</v>
      </c>
      <c r="AL32" s="24" t="s">
        <v>130</v>
      </c>
      <c r="AM32" s="23" t="s">
        <v>138</v>
      </c>
      <c r="AN32" s="23" t="s">
        <v>138</v>
      </c>
      <c r="AO32" s="23" t="s">
        <v>138</v>
      </c>
      <c r="AP32" s="23" t="s">
        <v>138</v>
      </c>
      <c r="AQ32" s="23" t="s">
        <v>138</v>
      </c>
      <c r="AR32" s="23">
        <f t="shared" si="2"/>
        <v>8</v>
      </c>
    </row>
    <row r="33" spans="1:44" x14ac:dyDescent="0.2">
      <c r="A33" s="10">
        <v>1</v>
      </c>
      <c r="B33" s="1" t="s">
        <v>100</v>
      </c>
      <c r="C33" s="2" t="s">
        <v>101</v>
      </c>
      <c r="D33" s="1" t="s">
        <v>102</v>
      </c>
      <c r="E33" s="3" t="s">
        <v>60</v>
      </c>
      <c r="F33" s="5">
        <v>46237</v>
      </c>
      <c r="G33" s="5">
        <v>46237</v>
      </c>
      <c r="H33" s="23" t="s">
        <v>131</v>
      </c>
      <c r="I33" s="23" t="s">
        <v>132</v>
      </c>
      <c r="J33" s="23" t="s">
        <v>132</v>
      </c>
      <c r="K33" s="23" t="s">
        <v>132</v>
      </c>
      <c r="L33" s="23" t="s">
        <v>130</v>
      </c>
      <c r="M33" s="23" t="s">
        <v>130</v>
      </c>
      <c r="N33" s="23" t="s">
        <v>138</v>
      </c>
      <c r="O33" s="23" t="s">
        <v>138</v>
      </c>
      <c r="P33" s="23" t="s">
        <v>138</v>
      </c>
      <c r="Q33" s="23" t="s">
        <v>138</v>
      </c>
      <c r="R33" s="23" t="s">
        <v>138</v>
      </c>
      <c r="S33" s="24" t="s">
        <v>130</v>
      </c>
      <c r="T33" s="23" t="s">
        <v>138</v>
      </c>
      <c r="U33" s="27" t="s">
        <v>130</v>
      </c>
      <c r="V33" s="27" t="s">
        <v>130</v>
      </c>
      <c r="W33" s="27" t="s">
        <v>130</v>
      </c>
      <c r="X33" s="23" t="s">
        <v>138</v>
      </c>
      <c r="Y33" s="23" t="s">
        <v>138</v>
      </c>
      <c r="Z33" s="24" t="s">
        <v>130</v>
      </c>
      <c r="AA33" s="24" t="s">
        <v>130</v>
      </c>
      <c r="AB33" s="23" t="s">
        <v>138</v>
      </c>
      <c r="AC33" s="23" t="s">
        <v>138</v>
      </c>
      <c r="AD33" s="23" t="s">
        <v>138</v>
      </c>
      <c r="AE33" s="23" t="s">
        <v>138</v>
      </c>
      <c r="AF33" s="23" t="s">
        <v>138</v>
      </c>
      <c r="AG33" s="24" t="s">
        <v>130</v>
      </c>
      <c r="AH33" s="24" t="s">
        <v>130</v>
      </c>
      <c r="AI33" s="23" t="s">
        <v>138</v>
      </c>
      <c r="AJ33" s="23" t="s">
        <v>138</v>
      </c>
      <c r="AK33" s="23" t="s">
        <v>138</v>
      </c>
      <c r="AL33" s="23" t="s">
        <v>138</v>
      </c>
      <c r="AM33" s="23" t="s">
        <v>138</v>
      </c>
      <c r="AN33" s="24" t="s">
        <v>130</v>
      </c>
      <c r="AO33" s="24" t="s">
        <v>130</v>
      </c>
      <c r="AP33" s="23" t="s">
        <v>138</v>
      </c>
      <c r="AQ33" s="23" t="s">
        <v>138</v>
      </c>
      <c r="AR33" s="23">
        <f t="shared" si="2"/>
        <v>10</v>
      </c>
    </row>
    <row r="34" spans="1:44" x14ac:dyDescent="0.2">
      <c r="A34" s="10">
        <v>1</v>
      </c>
      <c r="B34" s="1" t="s">
        <v>103</v>
      </c>
      <c r="C34" s="2" t="s">
        <v>104</v>
      </c>
      <c r="D34" s="1" t="s">
        <v>105</v>
      </c>
      <c r="E34" s="3" t="s">
        <v>60</v>
      </c>
      <c r="F34" s="5">
        <v>46251</v>
      </c>
      <c r="G34" s="5">
        <v>46251</v>
      </c>
      <c r="H34" s="23" t="s">
        <v>129</v>
      </c>
      <c r="I34" s="23" t="s">
        <v>129</v>
      </c>
      <c r="J34" s="23" t="s">
        <v>130</v>
      </c>
      <c r="K34" s="23" t="s">
        <v>130</v>
      </c>
      <c r="L34" s="23" t="s">
        <v>129</v>
      </c>
      <c r="M34" s="23" t="s">
        <v>129</v>
      </c>
      <c r="N34" s="23" t="s">
        <v>155</v>
      </c>
      <c r="O34" s="23" t="s">
        <v>155</v>
      </c>
      <c r="P34" s="23" t="s">
        <v>155</v>
      </c>
      <c r="Q34" s="23" t="s">
        <v>130</v>
      </c>
      <c r="R34" s="23" t="s">
        <v>130</v>
      </c>
      <c r="S34" s="23" t="s">
        <v>162</v>
      </c>
      <c r="T34" s="23" t="s">
        <v>162</v>
      </c>
      <c r="U34" s="23" t="s">
        <v>155</v>
      </c>
      <c r="V34" s="23" t="s">
        <v>155</v>
      </c>
      <c r="W34" s="23" t="s">
        <v>155</v>
      </c>
      <c r="X34" s="23" t="s">
        <v>130</v>
      </c>
      <c r="Y34" s="23" t="s">
        <v>130</v>
      </c>
      <c r="Z34" s="23" t="s">
        <v>155</v>
      </c>
      <c r="AA34" s="23" t="s">
        <v>155</v>
      </c>
      <c r="AB34" s="23" t="s">
        <v>155</v>
      </c>
      <c r="AC34" s="23" t="s">
        <v>155</v>
      </c>
      <c r="AD34" s="23" t="s">
        <v>155</v>
      </c>
      <c r="AE34" s="23" t="s">
        <v>130</v>
      </c>
      <c r="AF34" s="23" t="s">
        <v>130</v>
      </c>
      <c r="AG34" s="23" t="s">
        <v>155</v>
      </c>
      <c r="AH34" s="23" t="s">
        <v>155</v>
      </c>
      <c r="AI34" s="23" t="s">
        <v>155</v>
      </c>
      <c r="AJ34" s="23" t="s">
        <v>155</v>
      </c>
      <c r="AK34" s="23" t="s">
        <v>155</v>
      </c>
      <c r="AL34" s="23" t="s">
        <v>130</v>
      </c>
      <c r="AM34" s="23" t="s">
        <v>130</v>
      </c>
      <c r="AN34" s="23" t="s">
        <v>155</v>
      </c>
      <c r="AO34" s="23" t="s">
        <v>155</v>
      </c>
      <c r="AP34" s="23" t="s">
        <v>155</v>
      </c>
      <c r="AQ34" s="23" t="s">
        <v>155</v>
      </c>
      <c r="AR34" s="23">
        <f t="shared" si="2"/>
        <v>8</v>
      </c>
    </row>
    <row r="35" spans="1:44" x14ac:dyDescent="0.2">
      <c r="A35" s="10">
        <v>1</v>
      </c>
      <c r="B35" s="1" t="s">
        <v>106</v>
      </c>
      <c r="C35" s="2" t="s">
        <v>107</v>
      </c>
      <c r="D35" s="1" t="s">
        <v>108</v>
      </c>
      <c r="E35" s="3" t="s">
        <v>60</v>
      </c>
      <c r="F35" s="5">
        <v>46251</v>
      </c>
      <c r="G35" s="5">
        <v>46251</v>
      </c>
      <c r="H35" s="23" t="s">
        <v>138</v>
      </c>
      <c r="I35" s="23" t="s">
        <v>138</v>
      </c>
      <c r="J35" s="23" t="s">
        <v>130</v>
      </c>
      <c r="K35" s="23" t="s">
        <v>130</v>
      </c>
      <c r="L35" s="23" t="s">
        <v>138</v>
      </c>
      <c r="M35" s="23" t="s">
        <v>138</v>
      </c>
      <c r="N35" s="23" t="s">
        <v>138</v>
      </c>
      <c r="O35" s="23" t="s">
        <v>138</v>
      </c>
      <c r="P35" s="23" t="s">
        <v>138</v>
      </c>
      <c r="Q35" s="23" t="s">
        <v>138</v>
      </c>
      <c r="R35" s="24" t="s">
        <v>130</v>
      </c>
      <c r="S35" s="24" t="s">
        <v>130</v>
      </c>
      <c r="T35" s="23" t="s">
        <v>138</v>
      </c>
      <c r="U35" s="23" t="s">
        <v>138</v>
      </c>
      <c r="V35" s="27" t="s">
        <v>130</v>
      </c>
      <c r="W35" s="23" t="s">
        <v>138</v>
      </c>
      <c r="X35" s="23" t="s">
        <v>138</v>
      </c>
      <c r="Y35" s="24" t="s">
        <v>130</v>
      </c>
      <c r="Z35" s="24" t="s">
        <v>130</v>
      </c>
      <c r="AA35" s="23" t="s">
        <v>138</v>
      </c>
      <c r="AB35" s="23" t="s">
        <v>138</v>
      </c>
      <c r="AC35" s="23" t="s">
        <v>138</v>
      </c>
      <c r="AD35" s="23" t="s">
        <v>138</v>
      </c>
      <c r="AE35" s="23" t="s">
        <v>138</v>
      </c>
      <c r="AF35" s="24" t="s">
        <v>130</v>
      </c>
      <c r="AG35" s="24" t="s">
        <v>130</v>
      </c>
      <c r="AH35" s="23" t="s">
        <v>138</v>
      </c>
      <c r="AI35" s="23" t="s">
        <v>138</v>
      </c>
      <c r="AJ35" s="23" t="s">
        <v>138</v>
      </c>
      <c r="AK35" s="23" t="s">
        <v>138</v>
      </c>
      <c r="AL35" s="23" t="s">
        <v>138</v>
      </c>
      <c r="AM35" s="24" t="s">
        <v>130</v>
      </c>
      <c r="AN35" s="24" t="s">
        <v>130</v>
      </c>
      <c r="AO35" s="23" t="s">
        <v>138</v>
      </c>
      <c r="AP35" s="23" t="s">
        <v>138</v>
      </c>
      <c r="AQ35" s="23" t="s">
        <v>138</v>
      </c>
      <c r="AR35" s="23">
        <f t="shared" si="2"/>
        <v>9</v>
      </c>
    </row>
    <row r="36" spans="1:44" x14ac:dyDescent="0.2">
      <c r="A36" s="10">
        <v>1</v>
      </c>
      <c r="B36" s="1" t="s">
        <v>109</v>
      </c>
      <c r="C36" s="2" t="s">
        <v>110</v>
      </c>
      <c r="D36" s="1" t="s">
        <v>111</v>
      </c>
      <c r="E36" s="3" t="s">
        <v>60</v>
      </c>
      <c r="F36" s="5">
        <v>46272</v>
      </c>
      <c r="G36" s="5">
        <v>46272</v>
      </c>
      <c r="H36" s="23" t="s">
        <v>138</v>
      </c>
      <c r="I36" s="23" t="s">
        <v>138</v>
      </c>
      <c r="J36" s="23" t="s">
        <v>138</v>
      </c>
      <c r="K36" s="23" t="s">
        <v>130</v>
      </c>
      <c r="L36" s="23" t="s">
        <v>130</v>
      </c>
      <c r="M36" s="23" t="s">
        <v>138</v>
      </c>
      <c r="N36" s="23" t="s">
        <v>138</v>
      </c>
      <c r="O36" s="23" t="s">
        <v>138</v>
      </c>
      <c r="P36" s="23" t="s">
        <v>138</v>
      </c>
      <c r="Q36" s="23" t="s">
        <v>138</v>
      </c>
      <c r="R36" s="24" t="s">
        <v>130</v>
      </c>
      <c r="S36" s="24" t="s">
        <v>130</v>
      </c>
      <c r="T36" s="23" t="s">
        <v>138</v>
      </c>
      <c r="U36" s="23" t="s">
        <v>138</v>
      </c>
      <c r="V36" s="23" t="s">
        <v>138</v>
      </c>
      <c r="W36" s="23" t="s">
        <v>138</v>
      </c>
      <c r="X36" s="23" t="s">
        <v>138</v>
      </c>
      <c r="Y36" s="24" t="s">
        <v>130</v>
      </c>
      <c r="Z36" s="24" t="s">
        <v>130</v>
      </c>
      <c r="AA36" s="23" t="s">
        <v>138</v>
      </c>
      <c r="AB36" s="23" t="s">
        <v>138</v>
      </c>
      <c r="AC36" s="23" t="s">
        <v>138</v>
      </c>
      <c r="AD36" s="23" t="s">
        <v>138</v>
      </c>
      <c r="AE36" s="23" t="s">
        <v>138</v>
      </c>
      <c r="AF36" s="24" t="s">
        <v>130</v>
      </c>
      <c r="AG36" s="24" t="s">
        <v>130</v>
      </c>
      <c r="AH36" s="23" t="s">
        <v>138</v>
      </c>
      <c r="AI36" s="23" t="s">
        <v>138</v>
      </c>
      <c r="AJ36" s="23" t="s">
        <v>138</v>
      </c>
      <c r="AK36" s="23" t="s">
        <v>138</v>
      </c>
      <c r="AL36" s="23" t="s">
        <v>138</v>
      </c>
      <c r="AM36" s="24" t="s">
        <v>130</v>
      </c>
      <c r="AN36" s="24" t="s">
        <v>130</v>
      </c>
      <c r="AO36" s="23" t="s">
        <v>138</v>
      </c>
      <c r="AP36" s="23" t="s">
        <v>138</v>
      </c>
      <c r="AQ36" s="23" t="s">
        <v>138</v>
      </c>
      <c r="AR36" s="23">
        <f t="shared" si="2"/>
        <v>8</v>
      </c>
    </row>
    <row r="37" spans="1:44" x14ac:dyDescent="0.2">
      <c r="A37" s="10">
        <v>1</v>
      </c>
      <c r="B37" s="1" t="s">
        <v>112</v>
      </c>
      <c r="C37" s="2" t="s">
        <v>113</v>
      </c>
      <c r="D37" s="1" t="s">
        <v>114</v>
      </c>
      <c r="E37" s="3" t="s">
        <v>60</v>
      </c>
      <c r="F37" s="5">
        <v>45222</v>
      </c>
      <c r="G37" s="5">
        <v>46272</v>
      </c>
      <c r="H37" s="23" t="s">
        <v>132</v>
      </c>
      <c r="I37" s="23" t="s">
        <v>132</v>
      </c>
      <c r="J37" s="23" t="s">
        <v>132</v>
      </c>
      <c r="K37" s="23" t="s">
        <v>130</v>
      </c>
      <c r="L37" s="23" t="s">
        <v>130</v>
      </c>
      <c r="M37" s="23" t="s">
        <v>132</v>
      </c>
      <c r="N37" s="23" t="s">
        <v>138</v>
      </c>
      <c r="O37" s="24" t="s">
        <v>130</v>
      </c>
      <c r="P37" s="24" t="s">
        <v>130</v>
      </c>
      <c r="Q37" s="23" t="s">
        <v>138</v>
      </c>
      <c r="R37" s="23" t="s">
        <v>138</v>
      </c>
      <c r="S37" s="23" t="s">
        <v>138</v>
      </c>
      <c r="T37" s="24" t="s">
        <v>130</v>
      </c>
      <c r="U37" s="24" t="s">
        <v>130</v>
      </c>
      <c r="V37" s="23" t="s">
        <v>138</v>
      </c>
      <c r="W37" s="23" t="s">
        <v>138</v>
      </c>
      <c r="X37" s="23" t="s">
        <v>138</v>
      </c>
      <c r="Y37" s="23" t="s">
        <v>138</v>
      </c>
      <c r="Z37" s="23" t="s">
        <v>138</v>
      </c>
      <c r="AA37" s="24" t="s">
        <v>130</v>
      </c>
      <c r="AB37" s="24" t="s">
        <v>130</v>
      </c>
      <c r="AC37" s="23" t="s">
        <v>138</v>
      </c>
      <c r="AD37" s="23" t="s">
        <v>138</v>
      </c>
      <c r="AE37" s="23" t="s">
        <v>138</v>
      </c>
      <c r="AF37" s="23" t="s">
        <v>138</v>
      </c>
      <c r="AG37" s="23" t="s">
        <v>138</v>
      </c>
      <c r="AH37" s="24" t="s">
        <v>130</v>
      </c>
      <c r="AI37" s="24" t="s">
        <v>130</v>
      </c>
      <c r="AJ37" s="23" t="s">
        <v>138</v>
      </c>
      <c r="AK37" s="23" t="s">
        <v>138</v>
      </c>
      <c r="AL37" s="23" t="s">
        <v>138</v>
      </c>
      <c r="AM37" s="23" t="s">
        <v>138</v>
      </c>
      <c r="AN37" s="24" t="s">
        <v>130</v>
      </c>
      <c r="AO37" s="23" t="s">
        <v>138</v>
      </c>
      <c r="AP37" s="24" t="s">
        <v>130</v>
      </c>
      <c r="AQ37" s="23" t="s">
        <v>138</v>
      </c>
      <c r="AR37" s="23">
        <f t="shared" si="2"/>
        <v>10</v>
      </c>
    </row>
    <row r="38" spans="1:44" x14ac:dyDescent="0.2">
      <c r="A38" s="10">
        <v>1</v>
      </c>
      <c r="B38" s="1" t="s">
        <v>115</v>
      </c>
      <c r="C38" s="2" t="s">
        <v>116</v>
      </c>
      <c r="D38" s="1" t="s">
        <v>117</v>
      </c>
      <c r="E38" s="3" t="s">
        <v>60</v>
      </c>
      <c r="F38" s="5">
        <v>46286</v>
      </c>
      <c r="G38" s="5">
        <v>46286</v>
      </c>
      <c r="H38" s="23" t="s">
        <v>130</v>
      </c>
      <c r="I38" s="23" t="s">
        <v>132</v>
      </c>
      <c r="J38" s="23" t="s">
        <v>132</v>
      </c>
      <c r="K38" s="23" t="s">
        <v>132</v>
      </c>
      <c r="L38" s="23" t="s">
        <v>132</v>
      </c>
      <c r="M38" s="23" t="s">
        <v>132</v>
      </c>
      <c r="N38" s="24" t="s">
        <v>130</v>
      </c>
      <c r="O38" s="24" t="s">
        <v>130</v>
      </c>
      <c r="P38" s="23" t="s">
        <v>138</v>
      </c>
      <c r="Q38" s="23" t="s">
        <v>138</v>
      </c>
      <c r="R38" s="23" t="s">
        <v>138</v>
      </c>
      <c r="S38" s="23" t="s">
        <v>138</v>
      </c>
      <c r="T38" s="23" t="s">
        <v>138</v>
      </c>
      <c r="U38" s="24" t="s">
        <v>130</v>
      </c>
      <c r="V38" s="24" t="s">
        <v>130</v>
      </c>
      <c r="W38" s="23" t="s">
        <v>138</v>
      </c>
      <c r="X38" s="23" t="s">
        <v>138</v>
      </c>
      <c r="Y38" s="23" t="s">
        <v>138</v>
      </c>
      <c r="Z38" s="23" t="s">
        <v>138</v>
      </c>
      <c r="AA38" s="23" t="s">
        <v>138</v>
      </c>
      <c r="AB38" s="24" t="s">
        <v>130</v>
      </c>
      <c r="AC38" s="24" t="s">
        <v>130</v>
      </c>
      <c r="AD38" s="23" t="s">
        <v>138</v>
      </c>
      <c r="AE38" s="23" t="s">
        <v>138</v>
      </c>
      <c r="AF38" s="23" t="s">
        <v>138</v>
      </c>
      <c r="AG38" s="23" t="s">
        <v>138</v>
      </c>
      <c r="AH38" s="23" t="s">
        <v>138</v>
      </c>
      <c r="AI38" s="24" t="s">
        <v>130</v>
      </c>
      <c r="AJ38" s="24" t="s">
        <v>130</v>
      </c>
      <c r="AK38" s="23" t="s">
        <v>138</v>
      </c>
      <c r="AL38" s="23" t="s">
        <v>138</v>
      </c>
      <c r="AM38" s="23" t="s">
        <v>138</v>
      </c>
      <c r="AN38" s="23" t="s">
        <v>138</v>
      </c>
      <c r="AO38" s="23" t="s">
        <v>138</v>
      </c>
      <c r="AP38" s="24" t="s">
        <v>130</v>
      </c>
      <c r="AQ38" s="24" t="s">
        <v>130</v>
      </c>
      <c r="AR38" s="23">
        <f t="shared" si="2"/>
        <v>10</v>
      </c>
    </row>
    <row r="39" spans="1:44" x14ac:dyDescent="0.2">
      <c r="A39" s="10">
        <v>1</v>
      </c>
      <c r="B39" s="1" t="s">
        <v>118</v>
      </c>
      <c r="C39" s="2" t="s">
        <v>119</v>
      </c>
      <c r="D39" s="1" t="s">
        <v>120</v>
      </c>
      <c r="E39" s="3" t="s">
        <v>160</v>
      </c>
      <c r="F39" s="5">
        <v>46286</v>
      </c>
      <c r="G39" s="5">
        <v>46286</v>
      </c>
      <c r="H39" s="23" t="s">
        <v>130</v>
      </c>
      <c r="I39" s="23" t="s">
        <v>132</v>
      </c>
      <c r="J39" s="23" t="s">
        <v>132</v>
      </c>
      <c r="K39" s="23" t="s">
        <v>132</v>
      </c>
      <c r="L39" s="27" t="s">
        <v>130</v>
      </c>
      <c r="M39" s="23" t="s">
        <v>132</v>
      </c>
      <c r="N39" s="23" t="s">
        <v>138</v>
      </c>
      <c r="O39" s="23" t="s">
        <v>138</v>
      </c>
      <c r="P39" s="23" t="s">
        <v>130</v>
      </c>
      <c r="Q39" s="23" t="s">
        <v>130</v>
      </c>
      <c r="R39" s="23" t="s">
        <v>138</v>
      </c>
      <c r="S39" s="23" t="s">
        <v>138</v>
      </c>
      <c r="T39" s="23" t="s">
        <v>138</v>
      </c>
      <c r="U39" s="23" t="s">
        <v>138</v>
      </c>
      <c r="V39" s="23" t="s">
        <v>138</v>
      </c>
      <c r="W39" s="23" t="s">
        <v>130</v>
      </c>
      <c r="X39" s="23" t="s">
        <v>130</v>
      </c>
      <c r="Y39" s="23" t="s">
        <v>138</v>
      </c>
      <c r="Z39" s="23" t="s">
        <v>138</v>
      </c>
      <c r="AA39" s="23" t="s">
        <v>138</v>
      </c>
      <c r="AB39" s="23" t="s">
        <v>138</v>
      </c>
      <c r="AC39" s="23" t="s">
        <v>138</v>
      </c>
      <c r="AD39" s="23" t="s">
        <v>130</v>
      </c>
      <c r="AE39" s="23" t="s">
        <v>130</v>
      </c>
      <c r="AF39" s="23" t="s">
        <v>138</v>
      </c>
      <c r="AG39" s="23" t="s">
        <v>138</v>
      </c>
      <c r="AH39" s="23" t="s">
        <v>138</v>
      </c>
      <c r="AI39" s="23" t="s">
        <v>138</v>
      </c>
      <c r="AJ39" s="23" t="s">
        <v>138</v>
      </c>
      <c r="AK39" s="23" t="s">
        <v>130</v>
      </c>
      <c r="AL39" s="23" t="s">
        <v>130</v>
      </c>
      <c r="AM39" s="23" t="s">
        <v>138</v>
      </c>
      <c r="AN39" s="23" t="s">
        <v>138</v>
      </c>
      <c r="AO39" s="23" t="s">
        <v>138</v>
      </c>
      <c r="AP39" s="23" t="s">
        <v>138</v>
      </c>
      <c r="AQ39" s="23" t="s">
        <v>138</v>
      </c>
      <c r="AR39" s="23">
        <f t="shared" si="2"/>
        <v>8</v>
      </c>
    </row>
    <row r="40" spans="1:44" x14ac:dyDescent="0.2">
      <c r="A40" s="10">
        <v>1</v>
      </c>
      <c r="B40" s="1" t="s">
        <v>121</v>
      </c>
      <c r="C40" s="2" t="s">
        <v>122</v>
      </c>
      <c r="D40" s="3" t="s">
        <v>123</v>
      </c>
      <c r="E40" s="3" t="s">
        <v>124</v>
      </c>
      <c r="F40" s="5">
        <v>45432</v>
      </c>
      <c r="G40" s="5">
        <v>45819</v>
      </c>
      <c r="H40" s="23" t="s">
        <v>131</v>
      </c>
      <c r="I40" s="23" t="s">
        <v>131</v>
      </c>
      <c r="J40" s="23" t="s">
        <v>131</v>
      </c>
      <c r="K40" s="23" t="s">
        <v>131</v>
      </c>
      <c r="L40" s="23" t="s">
        <v>131</v>
      </c>
      <c r="M40" s="23" t="s">
        <v>130</v>
      </c>
      <c r="N40" s="23" t="s">
        <v>130</v>
      </c>
      <c r="O40" s="23" t="s">
        <v>137</v>
      </c>
      <c r="P40" s="23" t="s">
        <v>138</v>
      </c>
      <c r="Q40" s="23" t="s">
        <v>138</v>
      </c>
      <c r="R40" s="23" t="s">
        <v>138</v>
      </c>
      <c r="S40" s="23" t="s">
        <v>138</v>
      </c>
      <c r="T40" s="24" t="s">
        <v>130</v>
      </c>
      <c r="U40" s="24" t="s">
        <v>130</v>
      </c>
      <c r="V40" s="23" t="s">
        <v>138</v>
      </c>
      <c r="W40" s="23" t="s">
        <v>138</v>
      </c>
      <c r="X40" s="23" t="s">
        <v>138</v>
      </c>
      <c r="Y40" s="23" t="s">
        <v>138</v>
      </c>
      <c r="Z40" s="23" t="s">
        <v>138</v>
      </c>
      <c r="AA40" s="24" t="s">
        <v>130</v>
      </c>
      <c r="AB40" s="24" t="s">
        <v>130</v>
      </c>
      <c r="AC40" s="23" t="s">
        <v>138</v>
      </c>
      <c r="AD40" s="23" t="s">
        <v>138</v>
      </c>
      <c r="AE40" s="23" t="s">
        <v>138</v>
      </c>
      <c r="AF40" s="23" t="s">
        <v>138</v>
      </c>
      <c r="AG40" s="23" t="s">
        <v>138</v>
      </c>
      <c r="AH40" s="24" t="s">
        <v>130</v>
      </c>
      <c r="AI40" s="24" t="s">
        <v>130</v>
      </c>
      <c r="AJ40" s="23" t="s">
        <v>138</v>
      </c>
      <c r="AK40" s="23" t="s">
        <v>138</v>
      </c>
      <c r="AL40" s="23" t="s">
        <v>138</v>
      </c>
      <c r="AM40" s="23" t="s">
        <v>138</v>
      </c>
      <c r="AN40" s="24" t="s">
        <v>130</v>
      </c>
      <c r="AO40" s="24" t="s">
        <v>130</v>
      </c>
      <c r="AP40" s="23" t="s">
        <v>138</v>
      </c>
      <c r="AQ40" s="23" t="s">
        <v>138</v>
      </c>
      <c r="AR40" s="23">
        <f t="shared" si="2"/>
        <v>9</v>
      </c>
    </row>
    <row r="41" spans="1:44" x14ac:dyDescent="0.2">
      <c r="A41" s="10">
        <v>1</v>
      </c>
      <c r="B41" s="1" t="s">
        <v>125</v>
      </c>
      <c r="C41" s="2" t="s">
        <v>126</v>
      </c>
      <c r="D41" s="3" t="s">
        <v>127</v>
      </c>
      <c r="E41" s="3" t="s">
        <v>128</v>
      </c>
      <c r="F41" s="5">
        <v>46251</v>
      </c>
      <c r="G41" s="5">
        <v>46251</v>
      </c>
      <c r="H41" s="23" t="s">
        <v>131</v>
      </c>
      <c r="I41" s="23" t="s">
        <v>131</v>
      </c>
      <c r="J41" s="23" t="s">
        <v>131</v>
      </c>
      <c r="K41" s="23" t="s">
        <v>131</v>
      </c>
      <c r="L41" s="23" t="s">
        <v>130</v>
      </c>
      <c r="M41" s="23" t="s">
        <v>130</v>
      </c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5"/>
      <c r="AR41" s="23">
        <f t="shared" si="2"/>
        <v>0</v>
      </c>
    </row>
    <row r="42" spans="1:44" ht="15.75" x14ac:dyDescent="0.3">
      <c r="D42" s="11" t="s">
        <v>139</v>
      </c>
      <c r="E42" s="12"/>
      <c r="F42" s="13"/>
      <c r="G42" s="13"/>
      <c r="H42">
        <f>SUMPRODUCT(($E$4:$E$41="SV")*(LEFT(H$4:H$41,1)="A"))</f>
        <v>1</v>
      </c>
      <c r="I42">
        <f t="shared" ref="I42:AQ42" si="3">SUMPRODUCT(($E$4:$E$41="SV")*(LEFT(I$4:I$41,1)="A"))</f>
        <v>1</v>
      </c>
      <c r="J42">
        <f t="shared" si="3"/>
        <v>0</v>
      </c>
      <c r="K42">
        <f t="shared" si="3"/>
        <v>1</v>
      </c>
      <c r="L42">
        <f t="shared" si="3"/>
        <v>0</v>
      </c>
      <c r="M42">
        <f t="shared" si="3"/>
        <v>0</v>
      </c>
      <c r="N42">
        <f t="shared" si="3"/>
        <v>0</v>
      </c>
      <c r="O42">
        <f t="shared" si="3"/>
        <v>1</v>
      </c>
      <c r="P42">
        <f t="shared" si="3"/>
        <v>1</v>
      </c>
      <c r="Q42">
        <f t="shared" si="3"/>
        <v>1</v>
      </c>
      <c r="R42">
        <f t="shared" si="3"/>
        <v>0</v>
      </c>
      <c r="S42">
        <f t="shared" si="3"/>
        <v>0</v>
      </c>
      <c r="T42">
        <f t="shared" si="3"/>
        <v>0</v>
      </c>
      <c r="U42">
        <f t="shared" si="3"/>
        <v>0</v>
      </c>
      <c r="V42">
        <f t="shared" si="3"/>
        <v>1</v>
      </c>
      <c r="W42">
        <f t="shared" si="3"/>
        <v>1</v>
      </c>
      <c r="X42">
        <f t="shared" si="3"/>
        <v>1</v>
      </c>
      <c r="Y42">
        <f t="shared" si="3"/>
        <v>0</v>
      </c>
      <c r="Z42">
        <f>SUMPRODUCT(($E$4:$E$41="SV")*(LEFT(Z$4:Z$41,1)="A"))</f>
        <v>0</v>
      </c>
      <c r="AA42">
        <f t="shared" si="3"/>
        <v>0</v>
      </c>
      <c r="AB42">
        <f t="shared" si="3"/>
        <v>0</v>
      </c>
      <c r="AC42">
        <f t="shared" si="3"/>
        <v>1</v>
      </c>
      <c r="AD42">
        <f t="shared" si="3"/>
        <v>1</v>
      </c>
      <c r="AE42">
        <f t="shared" si="3"/>
        <v>1</v>
      </c>
      <c r="AF42">
        <f t="shared" si="3"/>
        <v>0</v>
      </c>
      <c r="AG42">
        <f t="shared" si="3"/>
        <v>0</v>
      </c>
      <c r="AH42">
        <f t="shared" si="3"/>
        <v>0</v>
      </c>
      <c r="AI42">
        <f t="shared" si="3"/>
        <v>0</v>
      </c>
      <c r="AJ42">
        <f t="shared" si="3"/>
        <v>1</v>
      </c>
      <c r="AK42">
        <f t="shared" si="3"/>
        <v>1</v>
      </c>
      <c r="AL42">
        <f t="shared" si="3"/>
        <v>1</v>
      </c>
      <c r="AM42">
        <f t="shared" si="3"/>
        <v>0</v>
      </c>
      <c r="AN42">
        <f t="shared" si="3"/>
        <v>0</v>
      </c>
      <c r="AO42">
        <f t="shared" si="3"/>
        <v>0</v>
      </c>
      <c r="AP42">
        <f t="shared" si="3"/>
        <v>1</v>
      </c>
      <c r="AQ42">
        <f t="shared" si="3"/>
        <v>1</v>
      </c>
    </row>
    <row r="43" spans="1:44" ht="15.75" x14ac:dyDescent="0.3">
      <c r="D43" s="11" t="s">
        <v>140</v>
      </c>
      <c r="E43" s="14"/>
      <c r="F43" s="13"/>
      <c r="G43" s="13"/>
      <c r="H43">
        <f>SUMPRODUCT(($E$4:$E$41="TL")*(LEFT(H$4:H$41,1)="A"))</f>
        <v>2</v>
      </c>
      <c r="I43">
        <f t="shared" ref="I43:AQ43" si="4">SUMPRODUCT(($E$4:$E$41="TL")*(LEFT(I$4:I$41,1)="A"))</f>
        <v>1</v>
      </c>
      <c r="J43">
        <f t="shared" si="4"/>
        <v>1</v>
      </c>
      <c r="K43">
        <f t="shared" si="4"/>
        <v>1</v>
      </c>
      <c r="L43">
        <f t="shared" si="4"/>
        <v>1</v>
      </c>
      <c r="M43">
        <f t="shared" si="4"/>
        <v>1</v>
      </c>
      <c r="N43">
        <f t="shared" si="4"/>
        <v>2</v>
      </c>
      <c r="O43">
        <f t="shared" si="4"/>
        <v>2</v>
      </c>
      <c r="P43">
        <f t="shared" si="4"/>
        <v>2</v>
      </c>
      <c r="Q43">
        <f t="shared" si="4"/>
        <v>1</v>
      </c>
      <c r="R43">
        <f t="shared" si="4"/>
        <v>0</v>
      </c>
      <c r="S43">
        <f t="shared" si="4"/>
        <v>1</v>
      </c>
      <c r="T43">
        <f t="shared" si="4"/>
        <v>2</v>
      </c>
      <c r="U43">
        <f t="shared" si="4"/>
        <v>2</v>
      </c>
      <c r="V43">
        <f t="shared" si="4"/>
        <v>2</v>
      </c>
      <c r="W43">
        <f t="shared" si="4"/>
        <v>2</v>
      </c>
      <c r="X43">
        <f t="shared" si="4"/>
        <v>1</v>
      </c>
      <c r="Y43">
        <f t="shared" si="4"/>
        <v>0</v>
      </c>
      <c r="Z43">
        <f>SUMPRODUCT(($E$4:$E$41="TL")*(LEFT(Z$4:Z$41,1)="A"))</f>
        <v>1</v>
      </c>
      <c r="AA43">
        <f t="shared" si="4"/>
        <v>2</v>
      </c>
      <c r="AB43">
        <f t="shared" si="4"/>
        <v>2</v>
      </c>
      <c r="AC43">
        <f t="shared" si="4"/>
        <v>2</v>
      </c>
      <c r="AD43">
        <f t="shared" si="4"/>
        <v>2</v>
      </c>
      <c r="AE43">
        <f t="shared" si="4"/>
        <v>1</v>
      </c>
      <c r="AF43">
        <f t="shared" si="4"/>
        <v>0</v>
      </c>
      <c r="AG43">
        <f t="shared" si="4"/>
        <v>1</v>
      </c>
      <c r="AH43">
        <f t="shared" si="4"/>
        <v>2</v>
      </c>
      <c r="AI43">
        <f t="shared" si="4"/>
        <v>2</v>
      </c>
      <c r="AJ43">
        <f t="shared" si="4"/>
        <v>2</v>
      </c>
      <c r="AK43">
        <f t="shared" si="4"/>
        <v>2</v>
      </c>
      <c r="AL43">
        <f t="shared" si="4"/>
        <v>1</v>
      </c>
      <c r="AM43">
        <f t="shared" si="4"/>
        <v>0</v>
      </c>
      <c r="AN43">
        <f t="shared" si="4"/>
        <v>1</v>
      </c>
      <c r="AO43">
        <f t="shared" si="4"/>
        <v>2</v>
      </c>
      <c r="AP43">
        <f t="shared" si="4"/>
        <v>2</v>
      </c>
      <c r="AQ43">
        <f t="shared" si="4"/>
        <v>2</v>
      </c>
    </row>
    <row r="44" spans="1:44" ht="15.75" x14ac:dyDescent="0.3">
      <c r="D44" s="11" t="s">
        <v>141</v>
      </c>
      <c r="E44" s="14"/>
      <c r="F44" s="13"/>
      <c r="G44" s="13"/>
      <c r="H44">
        <f>SUMPRODUCT(($E$4:$E$41="T2")*(LEFT(H$4:H$41,1)="A"))</f>
        <v>1</v>
      </c>
      <c r="I44">
        <f t="shared" ref="I44:AQ44" si="5">SUMPRODUCT(($E$4:$E$41="T2")*(LEFT(I$4:I$41,1)="A"))</f>
        <v>2</v>
      </c>
      <c r="J44">
        <f t="shared" si="5"/>
        <v>2</v>
      </c>
      <c r="K44">
        <f t="shared" si="5"/>
        <v>2</v>
      </c>
      <c r="L44">
        <f t="shared" si="5"/>
        <v>2</v>
      </c>
      <c r="M44">
        <f t="shared" si="5"/>
        <v>2</v>
      </c>
      <c r="N44">
        <f t="shared" si="5"/>
        <v>1</v>
      </c>
      <c r="O44">
        <f t="shared" si="5"/>
        <v>2</v>
      </c>
      <c r="P44">
        <f t="shared" si="5"/>
        <v>3</v>
      </c>
      <c r="Q44">
        <f t="shared" si="5"/>
        <v>3</v>
      </c>
      <c r="R44">
        <f t="shared" si="5"/>
        <v>3</v>
      </c>
      <c r="S44">
        <f t="shared" si="5"/>
        <v>2</v>
      </c>
      <c r="T44">
        <f t="shared" si="5"/>
        <v>1</v>
      </c>
      <c r="U44">
        <f t="shared" si="5"/>
        <v>1</v>
      </c>
      <c r="V44">
        <f t="shared" si="5"/>
        <v>2</v>
      </c>
      <c r="W44">
        <f t="shared" si="5"/>
        <v>3</v>
      </c>
      <c r="X44">
        <f t="shared" si="5"/>
        <v>3</v>
      </c>
      <c r="Y44">
        <f t="shared" si="5"/>
        <v>3</v>
      </c>
      <c r="Z44">
        <f>SUMPRODUCT(($E$4:$E$41="T2")*(LEFT(Z$4:Z$41,1)="A"))</f>
        <v>2</v>
      </c>
      <c r="AA44">
        <f t="shared" si="5"/>
        <v>1</v>
      </c>
      <c r="AB44">
        <f t="shared" si="5"/>
        <v>1</v>
      </c>
      <c r="AC44">
        <f t="shared" si="5"/>
        <v>2</v>
      </c>
      <c r="AD44">
        <f t="shared" si="5"/>
        <v>3</v>
      </c>
      <c r="AE44">
        <f t="shared" si="5"/>
        <v>3</v>
      </c>
      <c r="AF44">
        <f t="shared" si="5"/>
        <v>3</v>
      </c>
      <c r="AG44">
        <f t="shared" si="5"/>
        <v>2</v>
      </c>
      <c r="AH44">
        <f t="shared" si="5"/>
        <v>1</v>
      </c>
      <c r="AI44">
        <f t="shared" si="5"/>
        <v>1</v>
      </c>
      <c r="AJ44">
        <f t="shared" si="5"/>
        <v>2</v>
      </c>
      <c r="AK44">
        <f t="shared" si="5"/>
        <v>3</v>
      </c>
      <c r="AL44">
        <f t="shared" si="5"/>
        <v>3</v>
      </c>
      <c r="AM44">
        <f t="shared" si="5"/>
        <v>3</v>
      </c>
      <c r="AN44">
        <f t="shared" si="5"/>
        <v>2</v>
      </c>
      <c r="AO44">
        <f t="shared" si="5"/>
        <v>1</v>
      </c>
      <c r="AP44">
        <f t="shared" si="5"/>
        <v>1</v>
      </c>
      <c r="AQ44">
        <f t="shared" si="5"/>
        <v>2</v>
      </c>
    </row>
    <row r="45" spans="1:44" ht="15.75" x14ac:dyDescent="0.3"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</row>
    <row r="46" spans="1:44" ht="15.75" x14ac:dyDescent="0.3">
      <c r="D46" s="11" t="s">
        <v>142</v>
      </c>
      <c r="E46" s="14"/>
      <c r="F46" s="13"/>
      <c r="G46" s="16"/>
      <c r="H46">
        <f>SUMPRODUCT(($E$4:$E$41="Call")*(H$4:H$41="A21"))</f>
        <v>7</v>
      </c>
      <c r="I46">
        <f t="shared" ref="I46:M46" si="6">SUMPRODUCT(($E$4:$E$41="Call")*(I$4:I$41="A21"))</f>
        <v>7</v>
      </c>
      <c r="J46">
        <f t="shared" si="6"/>
        <v>7</v>
      </c>
      <c r="K46">
        <f t="shared" si="6"/>
        <v>6</v>
      </c>
      <c r="L46">
        <f t="shared" si="6"/>
        <v>7</v>
      </c>
      <c r="M46" s="28">
        <f t="shared" si="6"/>
        <v>7</v>
      </c>
      <c r="N46" s="28"/>
      <c r="T46" s="28"/>
      <c r="U46" s="28"/>
      <c r="AA46" s="28"/>
      <c r="AB46" s="28"/>
      <c r="AH46" s="28"/>
      <c r="AI46" s="28"/>
      <c r="AO46" s="28"/>
      <c r="AP46" s="28"/>
    </row>
    <row r="47" spans="1:44" ht="15.75" x14ac:dyDescent="0.3">
      <c r="D47" s="11" t="s">
        <v>143</v>
      </c>
      <c r="E47" s="14"/>
      <c r="F47" s="13"/>
      <c r="G47" s="12"/>
      <c r="H47">
        <f>SUMPRODUCT(($E$4:$E$41="Call")*(H$4:H$41="A22"))</f>
        <v>3</v>
      </c>
      <c r="I47">
        <f t="shared" ref="I47:AQ47" si="7">SUMPRODUCT(($E$4:$E$41="Call")*(I$4:I$41="A22"))</f>
        <v>3</v>
      </c>
      <c r="J47">
        <f t="shared" si="7"/>
        <v>2</v>
      </c>
      <c r="K47">
        <f t="shared" si="7"/>
        <v>1</v>
      </c>
      <c r="L47">
        <f t="shared" si="7"/>
        <v>2</v>
      </c>
      <c r="M47" s="28">
        <f t="shared" si="7"/>
        <v>2</v>
      </c>
      <c r="N47" s="28">
        <f t="shared" si="7"/>
        <v>9</v>
      </c>
      <c r="O47">
        <f t="shared" si="7"/>
        <v>8</v>
      </c>
      <c r="P47">
        <f t="shared" si="7"/>
        <v>7</v>
      </c>
      <c r="Q47">
        <f t="shared" si="7"/>
        <v>7</v>
      </c>
      <c r="R47">
        <f t="shared" si="7"/>
        <v>6</v>
      </c>
      <c r="S47">
        <f t="shared" si="7"/>
        <v>6</v>
      </c>
      <c r="T47" s="28">
        <f t="shared" si="7"/>
        <v>9</v>
      </c>
      <c r="U47" s="28">
        <f t="shared" si="7"/>
        <v>6</v>
      </c>
      <c r="V47">
        <f t="shared" si="7"/>
        <v>7</v>
      </c>
      <c r="W47">
        <f t="shared" si="7"/>
        <v>8</v>
      </c>
      <c r="X47">
        <f t="shared" si="7"/>
        <v>8</v>
      </c>
      <c r="Y47">
        <f t="shared" si="7"/>
        <v>7</v>
      </c>
      <c r="Z47">
        <f>SUMPRODUCT(($E$4:$E$41="Call")*(Z$4:Z$41="A22"))</f>
        <v>6</v>
      </c>
      <c r="AA47" s="28">
        <f t="shared" si="7"/>
        <v>8</v>
      </c>
      <c r="AB47" s="28">
        <f t="shared" si="7"/>
        <v>8</v>
      </c>
      <c r="AC47">
        <f t="shared" si="7"/>
        <v>9</v>
      </c>
      <c r="AD47">
        <f t="shared" si="7"/>
        <v>9</v>
      </c>
      <c r="AE47">
        <f t="shared" si="7"/>
        <v>8</v>
      </c>
      <c r="AF47">
        <f t="shared" si="7"/>
        <v>7</v>
      </c>
      <c r="AG47">
        <f t="shared" si="7"/>
        <v>6</v>
      </c>
      <c r="AH47" s="28">
        <f t="shared" si="7"/>
        <v>8</v>
      </c>
      <c r="AI47" s="28">
        <f t="shared" si="7"/>
        <v>8</v>
      </c>
      <c r="AJ47">
        <f t="shared" si="7"/>
        <v>9</v>
      </c>
      <c r="AK47">
        <f t="shared" si="7"/>
        <v>8</v>
      </c>
      <c r="AL47">
        <f t="shared" si="7"/>
        <v>8</v>
      </c>
      <c r="AM47">
        <f t="shared" si="7"/>
        <v>7</v>
      </c>
      <c r="AN47">
        <f t="shared" si="7"/>
        <v>5</v>
      </c>
      <c r="AO47" s="28">
        <f t="shared" si="7"/>
        <v>10</v>
      </c>
      <c r="AP47" s="28">
        <f t="shared" si="7"/>
        <v>8</v>
      </c>
      <c r="AQ47">
        <f t="shared" si="7"/>
        <v>9</v>
      </c>
    </row>
    <row r="48" spans="1:44" ht="15.75" x14ac:dyDescent="0.3">
      <c r="D48" s="11" t="s">
        <v>144</v>
      </c>
      <c r="E48" s="14"/>
      <c r="F48" s="13"/>
      <c r="G48" s="16"/>
      <c r="H48">
        <f>SUMPRODUCT(($E$4:$E$41="Call")*(H$4:H$41="A23"))</f>
        <v>0</v>
      </c>
      <c r="I48">
        <f t="shared" ref="I48:AQ48" si="8">SUMPRODUCT(($E$4:$E$43="Call")*(I$4:I$43="A23"))</f>
        <v>0</v>
      </c>
      <c r="J48">
        <f t="shared" si="8"/>
        <v>1</v>
      </c>
      <c r="K48">
        <f t="shared" si="8"/>
        <v>1</v>
      </c>
      <c r="L48">
        <f t="shared" si="8"/>
        <v>1</v>
      </c>
      <c r="M48" s="28">
        <f t="shared" si="8"/>
        <v>0</v>
      </c>
      <c r="N48" s="28">
        <f t="shared" si="8"/>
        <v>1</v>
      </c>
      <c r="O48">
        <f t="shared" si="8"/>
        <v>1</v>
      </c>
      <c r="P48">
        <f t="shared" si="8"/>
        <v>1</v>
      </c>
      <c r="Q48">
        <f t="shared" si="8"/>
        <v>0</v>
      </c>
      <c r="R48">
        <f t="shared" si="8"/>
        <v>1</v>
      </c>
      <c r="S48">
        <f t="shared" si="8"/>
        <v>1</v>
      </c>
      <c r="T48" s="28">
        <f t="shared" si="8"/>
        <v>0</v>
      </c>
      <c r="U48" s="28">
        <f t="shared" si="8"/>
        <v>0</v>
      </c>
      <c r="V48">
        <f t="shared" si="8"/>
        <v>1</v>
      </c>
      <c r="W48">
        <f t="shared" si="8"/>
        <v>1</v>
      </c>
      <c r="X48">
        <f t="shared" si="8"/>
        <v>1</v>
      </c>
      <c r="Y48">
        <f t="shared" si="8"/>
        <v>1</v>
      </c>
      <c r="Z48">
        <f t="shared" si="8"/>
        <v>1</v>
      </c>
      <c r="AA48" s="28">
        <f t="shared" si="8"/>
        <v>0</v>
      </c>
      <c r="AB48" s="28">
        <f t="shared" si="8"/>
        <v>0</v>
      </c>
      <c r="AC48">
        <f t="shared" si="8"/>
        <v>1</v>
      </c>
      <c r="AD48">
        <f t="shared" si="8"/>
        <v>1</v>
      </c>
      <c r="AE48">
        <f t="shared" si="8"/>
        <v>1</v>
      </c>
      <c r="AF48">
        <f t="shared" si="8"/>
        <v>1</v>
      </c>
      <c r="AG48">
        <f t="shared" si="8"/>
        <v>1</v>
      </c>
      <c r="AH48" s="28">
        <f t="shared" si="8"/>
        <v>0</v>
      </c>
      <c r="AI48" s="28">
        <f t="shared" si="8"/>
        <v>0</v>
      </c>
      <c r="AJ48">
        <f t="shared" si="8"/>
        <v>1</v>
      </c>
      <c r="AK48">
        <f t="shared" si="8"/>
        <v>1</v>
      </c>
      <c r="AL48">
        <f t="shared" si="8"/>
        <v>1</v>
      </c>
      <c r="AM48">
        <f t="shared" si="8"/>
        <v>1</v>
      </c>
      <c r="AN48">
        <f t="shared" si="8"/>
        <v>1</v>
      </c>
      <c r="AO48" s="28">
        <f t="shared" si="8"/>
        <v>0</v>
      </c>
      <c r="AP48" s="28">
        <f t="shared" si="8"/>
        <v>0</v>
      </c>
      <c r="AQ48">
        <f t="shared" si="8"/>
        <v>1</v>
      </c>
    </row>
    <row r="49" spans="4:43" ht="15.75" x14ac:dyDescent="0.3">
      <c r="D49" s="11" t="s">
        <v>145</v>
      </c>
      <c r="E49" s="14"/>
      <c r="F49" s="13"/>
      <c r="G49" s="16"/>
      <c r="H49">
        <f>SUMPRODUCT(($E$4:$E$41="Call")*(H$4:H$41="A00"))</f>
        <v>6</v>
      </c>
      <c r="I49">
        <f t="shared" ref="I49:AQ49" si="9">SUMPRODUCT(($E$4:$E$43="Call")*(I$4:I$43="A00"))</f>
        <v>6</v>
      </c>
      <c r="J49">
        <f t="shared" si="9"/>
        <v>4</v>
      </c>
      <c r="K49">
        <f t="shared" si="9"/>
        <v>4</v>
      </c>
      <c r="L49">
        <f t="shared" si="9"/>
        <v>6</v>
      </c>
      <c r="M49" s="28">
        <f t="shared" si="9"/>
        <v>4</v>
      </c>
      <c r="N49" s="28">
        <f t="shared" si="9"/>
        <v>0</v>
      </c>
      <c r="O49">
        <f t="shared" si="9"/>
        <v>0</v>
      </c>
      <c r="P49">
        <f t="shared" si="9"/>
        <v>0</v>
      </c>
      <c r="Q49">
        <f t="shared" si="9"/>
        <v>0</v>
      </c>
      <c r="R49">
        <f t="shared" si="9"/>
        <v>0</v>
      </c>
      <c r="S49">
        <f t="shared" si="9"/>
        <v>0</v>
      </c>
      <c r="T49" s="28">
        <f t="shared" si="9"/>
        <v>0</v>
      </c>
      <c r="U49" s="28">
        <f t="shared" si="9"/>
        <v>0</v>
      </c>
      <c r="V49">
        <f t="shared" si="9"/>
        <v>0</v>
      </c>
      <c r="W49">
        <f t="shared" si="9"/>
        <v>0</v>
      </c>
      <c r="X49">
        <f t="shared" si="9"/>
        <v>0</v>
      </c>
      <c r="Y49">
        <f t="shared" si="9"/>
        <v>0</v>
      </c>
      <c r="Z49">
        <f t="shared" si="9"/>
        <v>0</v>
      </c>
      <c r="AA49" s="28">
        <f t="shared" si="9"/>
        <v>0</v>
      </c>
      <c r="AB49" s="28">
        <f t="shared" si="9"/>
        <v>0</v>
      </c>
      <c r="AC49">
        <f t="shared" si="9"/>
        <v>0</v>
      </c>
      <c r="AD49">
        <f t="shared" si="9"/>
        <v>0</v>
      </c>
      <c r="AE49">
        <f t="shared" si="9"/>
        <v>0</v>
      </c>
      <c r="AF49">
        <f t="shared" si="9"/>
        <v>0</v>
      </c>
      <c r="AG49">
        <f t="shared" si="9"/>
        <v>0</v>
      </c>
      <c r="AH49" s="28">
        <f t="shared" si="9"/>
        <v>0</v>
      </c>
      <c r="AI49" s="28">
        <f t="shared" si="9"/>
        <v>0</v>
      </c>
      <c r="AJ49">
        <f t="shared" si="9"/>
        <v>0</v>
      </c>
      <c r="AK49">
        <f t="shared" si="9"/>
        <v>0</v>
      </c>
      <c r="AL49">
        <f t="shared" si="9"/>
        <v>0</v>
      </c>
      <c r="AM49">
        <f t="shared" si="9"/>
        <v>0</v>
      </c>
      <c r="AN49">
        <f t="shared" si="9"/>
        <v>0</v>
      </c>
      <c r="AO49" s="28">
        <f t="shared" si="9"/>
        <v>0</v>
      </c>
      <c r="AP49" s="28">
        <f t="shared" si="9"/>
        <v>0</v>
      </c>
      <c r="AQ49">
        <f t="shared" si="9"/>
        <v>0</v>
      </c>
    </row>
    <row r="50" spans="4:43" ht="15.75" x14ac:dyDescent="0.3">
      <c r="D50" s="11" t="s">
        <v>153</v>
      </c>
      <c r="E50" s="14"/>
      <c r="F50" s="13"/>
      <c r="G50" s="16"/>
      <c r="H50">
        <f>SUMPRODUCT(($E$4:$E$41="Call")*(H$4:H$41="A01"))</f>
        <v>0</v>
      </c>
      <c r="I50">
        <f t="shared" ref="I50:AQ50" si="10">SUMPRODUCT(($E$4:$E$41="Call")*(I$4:I$41="A01"))</f>
        <v>0</v>
      </c>
      <c r="J50">
        <f t="shared" si="10"/>
        <v>0</v>
      </c>
      <c r="K50">
        <f t="shared" si="10"/>
        <v>0</v>
      </c>
      <c r="L50">
        <f t="shared" si="10"/>
        <v>0</v>
      </c>
      <c r="M50" s="28">
        <f t="shared" si="10"/>
        <v>0</v>
      </c>
      <c r="N50" s="28">
        <f t="shared" si="10"/>
        <v>4</v>
      </c>
      <c r="O50">
        <f t="shared" si="10"/>
        <v>6</v>
      </c>
      <c r="P50">
        <f t="shared" si="10"/>
        <v>6</v>
      </c>
      <c r="Q50">
        <f t="shared" si="10"/>
        <v>6</v>
      </c>
      <c r="R50">
        <f t="shared" si="10"/>
        <v>6</v>
      </c>
      <c r="S50">
        <f t="shared" si="10"/>
        <v>6</v>
      </c>
      <c r="T50" s="28">
        <f t="shared" si="10"/>
        <v>4</v>
      </c>
      <c r="U50" s="28">
        <f t="shared" si="10"/>
        <v>5</v>
      </c>
      <c r="V50">
        <f t="shared" si="10"/>
        <v>7</v>
      </c>
      <c r="W50">
        <f t="shared" si="10"/>
        <v>6</v>
      </c>
      <c r="X50">
        <f t="shared" si="10"/>
        <v>6</v>
      </c>
      <c r="Y50">
        <f t="shared" si="10"/>
        <v>6</v>
      </c>
      <c r="Z50">
        <f>SUMPRODUCT(($E$4:$E$41="Call")*(Z$4:Z$41="A01"))</f>
        <v>6</v>
      </c>
      <c r="AA50" s="28">
        <f t="shared" si="10"/>
        <v>4</v>
      </c>
      <c r="AB50" s="28">
        <f t="shared" si="10"/>
        <v>5</v>
      </c>
      <c r="AC50">
        <f t="shared" si="10"/>
        <v>7</v>
      </c>
      <c r="AD50">
        <f t="shared" si="10"/>
        <v>6</v>
      </c>
      <c r="AE50">
        <f t="shared" si="10"/>
        <v>6</v>
      </c>
      <c r="AF50">
        <f t="shared" si="10"/>
        <v>6</v>
      </c>
      <c r="AG50">
        <f t="shared" si="10"/>
        <v>6</v>
      </c>
      <c r="AH50" s="28">
        <f t="shared" si="10"/>
        <v>4</v>
      </c>
      <c r="AI50" s="28">
        <f t="shared" si="10"/>
        <v>5</v>
      </c>
      <c r="AJ50">
        <f t="shared" si="10"/>
        <v>7</v>
      </c>
      <c r="AK50">
        <f t="shared" si="10"/>
        <v>6</v>
      </c>
      <c r="AL50">
        <f t="shared" si="10"/>
        <v>5</v>
      </c>
      <c r="AM50">
        <f t="shared" si="10"/>
        <v>6</v>
      </c>
      <c r="AN50">
        <f t="shared" si="10"/>
        <v>6</v>
      </c>
      <c r="AO50" s="28">
        <f t="shared" si="10"/>
        <v>4</v>
      </c>
      <c r="AP50" s="28">
        <f t="shared" si="10"/>
        <v>6</v>
      </c>
      <c r="AQ50">
        <f t="shared" si="10"/>
        <v>7</v>
      </c>
    </row>
    <row r="51" spans="4:43" ht="15.75" customHeight="1" x14ac:dyDescent="0.3">
      <c r="D51" s="11" t="s">
        <v>146</v>
      </c>
      <c r="E51" s="14"/>
      <c r="F51" s="13"/>
      <c r="G51" s="16"/>
      <c r="H51" s="29">
        <f>SUM(H46:H50)</f>
        <v>16</v>
      </c>
      <c r="I51" s="29">
        <f t="shared" ref="I51:AQ51" si="11">SUM(I46:I50)</f>
        <v>16</v>
      </c>
      <c r="J51" s="29">
        <f t="shared" si="11"/>
        <v>14</v>
      </c>
      <c r="K51" s="29">
        <f t="shared" si="11"/>
        <v>12</v>
      </c>
      <c r="L51" s="29">
        <f t="shared" si="11"/>
        <v>16</v>
      </c>
      <c r="M51" s="30">
        <f t="shared" si="11"/>
        <v>13</v>
      </c>
      <c r="N51" s="30">
        <f t="shared" si="11"/>
        <v>14</v>
      </c>
      <c r="O51" s="29">
        <f t="shared" si="11"/>
        <v>15</v>
      </c>
      <c r="P51" s="29">
        <f t="shared" si="11"/>
        <v>14</v>
      </c>
      <c r="Q51" s="29">
        <f t="shared" si="11"/>
        <v>13</v>
      </c>
      <c r="R51" s="29">
        <f t="shared" si="11"/>
        <v>13</v>
      </c>
      <c r="S51" s="29">
        <f t="shared" si="11"/>
        <v>13</v>
      </c>
      <c r="T51" s="30">
        <f t="shared" si="11"/>
        <v>13</v>
      </c>
      <c r="U51" s="30">
        <f t="shared" si="11"/>
        <v>11</v>
      </c>
      <c r="V51" s="29">
        <f t="shared" si="11"/>
        <v>15</v>
      </c>
      <c r="W51" s="29">
        <f t="shared" si="11"/>
        <v>15</v>
      </c>
      <c r="X51" s="29">
        <f t="shared" si="11"/>
        <v>15</v>
      </c>
      <c r="Y51" s="29">
        <f t="shared" si="11"/>
        <v>14</v>
      </c>
      <c r="Z51" s="29">
        <f t="shared" si="11"/>
        <v>13</v>
      </c>
      <c r="AA51" s="30">
        <f t="shared" si="11"/>
        <v>12</v>
      </c>
      <c r="AB51" s="30">
        <f t="shared" si="11"/>
        <v>13</v>
      </c>
      <c r="AC51" s="29">
        <f t="shared" si="11"/>
        <v>17</v>
      </c>
      <c r="AD51" s="29">
        <f t="shared" si="11"/>
        <v>16</v>
      </c>
      <c r="AE51" s="29">
        <f t="shared" si="11"/>
        <v>15</v>
      </c>
      <c r="AF51" s="29">
        <f t="shared" si="11"/>
        <v>14</v>
      </c>
      <c r="AG51" s="29">
        <f t="shared" si="11"/>
        <v>13</v>
      </c>
      <c r="AH51" s="30">
        <f t="shared" si="11"/>
        <v>12</v>
      </c>
      <c r="AI51" s="30">
        <f t="shared" si="11"/>
        <v>13</v>
      </c>
      <c r="AJ51" s="29">
        <f t="shared" si="11"/>
        <v>17</v>
      </c>
      <c r="AK51" s="29">
        <f t="shared" si="11"/>
        <v>15</v>
      </c>
      <c r="AL51" s="29">
        <f t="shared" si="11"/>
        <v>14</v>
      </c>
      <c r="AM51" s="29">
        <f t="shared" si="11"/>
        <v>14</v>
      </c>
      <c r="AN51" s="29">
        <f t="shared" si="11"/>
        <v>12</v>
      </c>
      <c r="AO51" s="30">
        <f t="shared" si="11"/>
        <v>14</v>
      </c>
      <c r="AP51" s="30">
        <f t="shared" si="11"/>
        <v>14</v>
      </c>
      <c r="AQ51" s="29">
        <f t="shared" si="11"/>
        <v>17</v>
      </c>
    </row>
    <row r="52" spans="4:43" ht="15.75" x14ac:dyDescent="0.3">
      <c r="D52" s="17"/>
      <c r="E52" s="17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</row>
    <row r="53" spans="4:43" ht="15.75" x14ac:dyDescent="0.3">
      <c r="D53" s="11" t="s">
        <v>147</v>
      </c>
      <c r="E53" s="14"/>
      <c r="F53" s="13"/>
      <c r="G53" s="13"/>
      <c r="H53">
        <f>SUMPRODUCT(($E$4:$E$41="Chat")*(H$4:H$41="A21"))</f>
        <v>4</v>
      </c>
      <c r="I53">
        <f t="shared" ref="I53:M53" si="12">SUMPRODUCT(($E$4:$E$43="Chat")*(I$4:I$43="A21"))</f>
        <v>4</v>
      </c>
      <c r="J53">
        <f t="shared" si="12"/>
        <v>4</v>
      </c>
      <c r="K53">
        <f t="shared" si="12"/>
        <v>4</v>
      </c>
      <c r="L53">
        <f t="shared" si="12"/>
        <v>4</v>
      </c>
      <c r="M53" s="28">
        <f t="shared" si="12"/>
        <v>4</v>
      </c>
      <c r="N53" s="28"/>
      <c r="T53" s="28"/>
      <c r="U53" s="28"/>
      <c r="AA53" s="28"/>
      <c r="AB53" s="28"/>
      <c r="AH53" s="28"/>
      <c r="AI53" s="28"/>
      <c r="AO53" s="28"/>
      <c r="AP53" s="28"/>
    </row>
    <row r="54" spans="4:43" ht="15.75" x14ac:dyDescent="0.3">
      <c r="D54" s="11" t="s">
        <v>148</v>
      </c>
      <c r="E54" s="14"/>
      <c r="F54" s="13"/>
      <c r="G54" s="13"/>
      <c r="H54">
        <f>SUMPRODUCT(($E$4:$E$41="Chat")*(H$4:H$41="A22"))</f>
        <v>0</v>
      </c>
      <c r="I54">
        <f t="shared" ref="I54:AQ54" si="13">SUMPRODUCT(($E$4:$E$43="Chat")*(I$4:I$43="A22"))</f>
        <v>0</v>
      </c>
      <c r="J54">
        <f t="shared" si="13"/>
        <v>0</v>
      </c>
      <c r="K54">
        <f t="shared" si="13"/>
        <v>0</v>
      </c>
      <c r="L54">
        <f t="shared" si="13"/>
        <v>0</v>
      </c>
      <c r="M54" s="28">
        <f t="shared" si="13"/>
        <v>0</v>
      </c>
      <c r="N54" s="28">
        <f t="shared" si="13"/>
        <v>4</v>
      </c>
      <c r="O54">
        <f t="shared" si="13"/>
        <v>4</v>
      </c>
      <c r="P54">
        <f t="shared" si="13"/>
        <v>4</v>
      </c>
      <c r="Q54">
        <f t="shared" si="13"/>
        <v>4</v>
      </c>
      <c r="R54">
        <f t="shared" si="13"/>
        <v>3</v>
      </c>
      <c r="S54">
        <f t="shared" si="13"/>
        <v>3</v>
      </c>
      <c r="T54" s="28">
        <f t="shared" si="13"/>
        <v>4</v>
      </c>
      <c r="U54" s="28">
        <f t="shared" si="13"/>
        <v>3</v>
      </c>
      <c r="V54">
        <f t="shared" si="13"/>
        <v>4</v>
      </c>
      <c r="W54">
        <f t="shared" si="13"/>
        <v>4</v>
      </c>
      <c r="X54">
        <f t="shared" si="13"/>
        <v>3</v>
      </c>
      <c r="Y54">
        <f t="shared" si="13"/>
        <v>3</v>
      </c>
      <c r="Z54">
        <f t="shared" si="13"/>
        <v>3</v>
      </c>
      <c r="AA54" s="28">
        <f t="shared" si="13"/>
        <v>4</v>
      </c>
      <c r="AB54" s="28">
        <f t="shared" si="13"/>
        <v>4</v>
      </c>
      <c r="AC54">
        <f t="shared" si="13"/>
        <v>4</v>
      </c>
      <c r="AD54">
        <f t="shared" si="13"/>
        <v>4</v>
      </c>
      <c r="AE54">
        <f t="shared" si="13"/>
        <v>4</v>
      </c>
      <c r="AF54">
        <f t="shared" si="13"/>
        <v>3</v>
      </c>
      <c r="AG54">
        <f t="shared" si="13"/>
        <v>3</v>
      </c>
      <c r="AH54" s="28">
        <f t="shared" si="13"/>
        <v>4</v>
      </c>
      <c r="AI54" s="28">
        <f t="shared" si="13"/>
        <v>4</v>
      </c>
      <c r="AJ54">
        <f t="shared" si="13"/>
        <v>4</v>
      </c>
      <c r="AK54">
        <f t="shared" si="13"/>
        <v>4</v>
      </c>
      <c r="AL54">
        <f t="shared" si="13"/>
        <v>4</v>
      </c>
      <c r="AM54">
        <f t="shared" si="13"/>
        <v>3</v>
      </c>
      <c r="AN54">
        <f t="shared" si="13"/>
        <v>3</v>
      </c>
      <c r="AO54" s="28">
        <f t="shared" si="13"/>
        <v>4</v>
      </c>
      <c r="AP54" s="28">
        <f t="shared" si="13"/>
        <v>4</v>
      </c>
      <c r="AQ54">
        <f t="shared" si="13"/>
        <v>4</v>
      </c>
    </row>
    <row r="55" spans="4:43" ht="15.75" x14ac:dyDescent="0.3">
      <c r="D55" s="11" t="s">
        <v>149</v>
      </c>
      <c r="E55" s="14"/>
      <c r="F55" s="13"/>
      <c r="G55" s="13"/>
      <c r="H55">
        <f>SUMPRODUCT(($E$4:$E$41="Chat")*(H$4:H$41="A00"))</f>
        <v>2</v>
      </c>
      <c r="I55">
        <f t="shared" ref="I55:AQ55" si="14">SUMPRODUCT(($E$4:$E$43="Chat")*(I$4:I$43="A00"))</f>
        <v>2</v>
      </c>
      <c r="J55">
        <f t="shared" si="14"/>
        <v>3</v>
      </c>
      <c r="K55">
        <f t="shared" si="14"/>
        <v>3</v>
      </c>
      <c r="L55">
        <f t="shared" si="14"/>
        <v>3</v>
      </c>
      <c r="M55" s="28">
        <f t="shared" si="14"/>
        <v>2</v>
      </c>
      <c r="N55" s="28">
        <f t="shared" si="14"/>
        <v>0</v>
      </c>
      <c r="O55">
        <f t="shared" si="14"/>
        <v>0</v>
      </c>
      <c r="P55">
        <f t="shared" si="14"/>
        <v>0</v>
      </c>
      <c r="Q55">
        <f t="shared" si="14"/>
        <v>0</v>
      </c>
      <c r="R55">
        <f t="shared" si="14"/>
        <v>0</v>
      </c>
      <c r="S55">
        <f t="shared" si="14"/>
        <v>0</v>
      </c>
      <c r="T55" s="28">
        <f t="shared" si="14"/>
        <v>0</v>
      </c>
      <c r="U55" s="28">
        <f t="shared" si="14"/>
        <v>0</v>
      </c>
      <c r="V55">
        <f t="shared" si="14"/>
        <v>0</v>
      </c>
      <c r="W55">
        <f t="shared" si="14"/>
        <v>0</v>
      </c>
      <c r="X55">
        <f t="shared" si="14"/>
        <v>0</v>
      </c>
      <c r="Y55">
        <f t="shared" si="14"/>
        <v>0</v>
      </c>
      <c r="Z55">
        <f t="shared" si="14"/>
        <v>0</v>
      </c>
      <c r="AA55" s="28">
        <f t="shared" si="14"/>
        <v>0</v>
      </c>
      <c r="AB55" s="28">
        <f t="shared" si="14"/>
        <v>0</v>
      </c>
      <c r="AC55">
        <f t="shared" si="14"/>
        <v>0</v>
      </c>
      <c r="AD55">
        <f t="shared" si="14"/>
        <v>0</v>
      </c>
      <c r="AE55">
        <f t="shared" si="14"/>
        <v>0</v>
      </c>
      <c r="AF55">
        <f t="shared" si="14"/>
        <v>0</v>
      </c>
      <c r="AG55">
        <f t="shared" si="14"/>
        <v>0</v>
      </c>
      <c r="AH55" s="28">
        <f t="shared" si="14"/>
        <v>0</v>
      </c>
      <c r="AI55" s="28">
        <f t="shared" si="14"/>
        <v>0</v>
      </c>
      <c r="AJ55">
        <f t="shared" si="14"/>
        <v>0</v>
      </c>
      <c r="AK55">
        <f t="shared" si="14"/>
        <v>0</v>
      </c>
      <c r="AL55">
        <f t="shared" si="14"/>
        <v>0</v>
      </c>
      <c r="AM55">
        <f t="shared" si="14"/>
        <v>0</v>
      </c>
      <c r="AN55">
        <f t="shared" si="14"/>
        <v>0</v>
      </c>
      <c r="AO55" s="28">
        <f t="shared" si="14"/>
        <v>0</v>
      </c>
      <c r="AP55" s="28">
        <f t="shared" si="14"/>
        <v>0</v>
      </c>
      <c r="AQ55">
        <f t="shared" si="14"/>
        <v>0</v>
      </c>
    </row>
    <row r="56" spans="4:43" ht="15.75" x14ac:dyDescent="0.3">
      <c r="D56" s="11" t="s">
        <v>154</v>
      </c>
      <c r="E56" s="14"/>
      <c r="F56" s="13"/>
      <c r="G56" s="13"/>
      <c r="H56">
        <f>SUMPRODUCT(($E$4:$E$41="Chat")*(H$4:H$41="A01"))</f>
        <v>0</v>
      </c>
      <c r="I56">
        <f t="shared" ref="I56:AQ56" si="15">SUMPRODUCT(($E$4:$E$41="Chat")*(I$4:I$41="A01"))</f>
        <v>0</v>
      </c>
      <c r="J56">
        <f t="shared" si="15"/>
        <v>0</v>
      </c>
      <c r="K56">
        <f t="shared" si="15"/>
        <v>0</v>
      </c>
      <c r="L56">
        <f t="shared" si="15"/>
        <v>0</v>
      </c>
      <c r="M56" s="28">
        <f t="shared" si="15"/>
        <v>0</v>
      </c>
      <c r="N56" s="28">
        <f t="shared" si="15"/>
        <v>2</v>
      </c>
      <c r="O56">
        <f t="shared" si="15"/>
        <v>3</v>
      </c>
      <c r="P56">
        <f t="shared" si="15"/>
        <v>3</v>
      </c>
      <c r="Q56">
        <f t="shared" si="15"/>
        <v>3</v>
      </c>
      <c r="R56">
        <f t="shared" si="15"/>
        <v>3</v>
      </c>
      <c r="S56">
        <f t="shared" si="15"/>
        <v>3</v>
      </c>
      <c r="T56" s="28">
        <f t="shared" si="15"/>
        <v>2</v>
      </c>
      <c r="U56" s="28">
        <f t="shared" si="15"/>
        <v>2</v>
      </c>
      <c r="V56">
        <f t="shared" si="15"/>
        <v>3</v>
      </c>
      <c r="W56">
        <f t="shared" si="15"/>
        <v>3</v>
      </c>
      <c r="X56">
        <f t="shared" si="15"/>
        <v>3</v>
      </c>
      <c r="Y56">
        <f t="shared" si="15"/>
        <v>3</v>
      </c>
      <c r="Z56">
        <f t="shared" si="15"/>
        <v>3</v>
      </c>
      <c r="AA56" s="28">
        <f t="shared" si="15"/>
        <v>2</v>
      </c>
      <c r="AB56" s="28">
        <f t="shared" si="15"/>
        <v>2</v>
      </c>
      <c r="AC56">
        <f t="shared" si="15"/>
        <v>3</v>
      </c>
      <c r="AD56">
        <f t="shared" si="15"/>
        <v>3</v>
      </c>
      <c r="AE56">
        <f t="shared" si="15"/>
        <v>3</v>
      </c>
      <c r="AF56">
        <f t="shared" si="15"/>
        <v>3</v>
      </c>
      <c r="AG56">
        <f t="shared" si="15"/>
        <v>3</v>
      </c>
      <c r="AH56" s="28">
        <f t="shared" si="15"/>
        <v>2</v>
      </c>
      <c r="AI56" s="28">
        <f t="shared" si="15"/>
        <v>2</v>
      </c>
      <c r="AJ56">
        <f t="shared" si="15"/>
        <v>3</v>
      </c>
      <c r="AK56">
        <f t="shared" si="15"/>
        <v>3</v>
      </c>
      <c r="AL56">
        <f t="shared" si="15"/>
        <v>3</v>
      </c>
      <c r="AM56">
        <f t="shared" si="15"/>
        <v>3</v>
      </c>
      <c r="AN56">
        <f t="shared" si="15"/>
        <v>3</v>
      </c>
      <c r="AO56" s="28">
        <f t="shared" si="15"/>
        <v>2</v>
      </c>
      <c r="AP56" s="28">
        <f t="shared" si="15"/>
        <v>2</v>
      </c>
      <c r="AQ56">
        <f t="shared" si="15"/>
        <v>3</v>
      </c>
    </row>
    <row r="57" spans="4:43" ht="15.75" x14ac:dyDescent="0.3">
      <c r="D57" s="11" t="s">
        <v>150</v>
      </c>
      <c r="E57" s="14"/>
      <c r="F57" s="13"/>
      <c r="G57" s="13"/>
      <c r="H57" s="29">
        <f>SUM(H53:H56)</f>
        <v>6</v>
      </c>
      <c r="I57" s="29">
        <f t="shared" ref="I57:AQ57" si="16">SUM(I53:I56)</f>
        <v>6</v>
      </c>
      <c r="J57" s="29">
        <f t="shared" si="16"/>
        <v>7</v>
      </c>
      <c r="K57" s="29">
        <f t="shared" si="16"/>
        <v>7</v>
      </c>
      <c r="L57" s="29">
        <f t="shared" si="16"/>
        <v>7</v>
      </c>
      <c r="M57" s="30">
        <f t="shared" si="16"/>
        <v>6</v>
      </c>
      <c r="N57" s="30">
        <f t="shared" si="16"/>
        <v>6</v>
      </c>
      <c r="O57" s="29">
        <f t="shared" si="16"/>
        <v>7</v>
      </c>
      <c r="P57" s="29">
        <f t="shared" si="16"/>
        <v>7</v>
      </c>
      <c r="Q57" s="29">
        <f t="shared" si="16"/>
        <v>7</v>
      </c>
      <c r="R57" s="29">
        <f t="shared" si="16"/>
        <v>6</v>
      </c>
      <c r="S57" s="29">
        <f t="shared" si="16"/>
        <v>6</v>
      </c>
      <c r="T57" s="30">
        <f t="shared" si="16"/>
        <v>6</v>
      </c>
      <c r="U57" s="30">
        <f t="shared" si="16"/>
        <v>5</v>
      </c>
      <c r="V57" s="29">
        <f t="shared" si="16"/>
        <v>7</v>
      </c>
      <c r="W57" s="29">
        <f t="shared" si="16"/>
        <v>7</v>
      </c>
      <c r="X57" s="29">
        <f t="shared" si="16"/>
        <v>6</v>
      </c>
      <c r="Y57" s="29">
        <f t="shared" si="16"/>
        <v>6</v>
      </c>
      <c r="Z57" s="29">
        <f t="shared" si="16"/>
        <v>6</v>
      </c>
      <c r="AA57" s="30">
        <f t="shared" si="16"/>
        <v>6</v>
      </c>
      <c r="AB57" s="30">
        <f t="shared" si="16"/>
        <v>6</v>
      </c>
      <c r="AC57" s="29">
        <f t="shared" si="16"/>
        <v>7</v>
      </c>
      <c r="AD57" s="29">
        <f t="shared" si="16"/>
        <v>7</v>
      </c>
      <c r="AE57" s="29">
        <f t="shared" si="16"/>
        <v>7</v>
      </c>
      <c r="AF57" s="29">
        <f t="shared" si="16"/>
        <v>6</v>
      </c>
      <c r="AG57" s="29">
        <f t="shared" si="16"/>
        <v>6</v>
      </c>
      <c r="AH57" s="30">
        <f t="shared" si="16"/>
        <v>6</v>
      </c>
      <c r="AI57" s="30">
        <f t="shared" si="16"/>
        <v>6</v>
      </c>
      <c r="AJ57" s="29">
        <f t="shared" si="16"/>
        <v>7</v>
      </c>
      <c r="AK57" s="29">
        <f t="shared" si="16"/>
        <v>7</v>
      </c>
      <c r="AL57" s="29">
        <f t="shared" si="16"/>
        <v>7</v>
      </c>
      <c r="AM57" s="29">
        <f t="shared" si="16"/>
        <v>6</v>
      </c>
      <c r="AN57" s="29">
        <f t="shared" si="16"/>
        <v>6</v>
      </c>
      <c r="AO57" s="30">
        <f t="shared" si="16"/>
        <v>6</v>
      </c>
      <c r="AP57" s="30">
        <f t="shared" si="16"/>
        <v>6</v>
      </c>
      <c r="AQ57" s="29">
        <f t="shared" si="16"/>
        <v>7</v>
      </c>
    </row>
    <row r="58" spans="4:43" ht="15.75" x14ac:dyDescent="0.3"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</row>
    <row r="59" spans="4:43" ht="28.5" x14ac:dyDescent="0.3">
      <c r="D59" s="20" t="s">
        <v>151</v>
      </c>
      <c r="E59" s="14"/>
      <c r="F59" s="13"/>
      <c r="G59" s="13"/>
      <c r="H59" s="29">
        <f t="shared" ref="H59:AQ59" si="17">SUM(H51,H57)</f>
        <v>22</v>
      </c>
      <c r="I59" s="29">
        <f t="shared" si="17"/>
        <v>22</v>
      </c>
      <c r="J59" s="29">
        <f t="shared" si="17"/>
        <v>21</v>
      </c>
      <c r="K59" s="29">
        <f t="shared" si="17"/>
        <v>19</v>
      </c>
      <c r="L59" s="29">
        <f t="shared" si="17"/>
        <v>23</v>
      </c>
      <c r="M59" s="30">
        <f t="shared" si="17"/>
        <v>19</v>
      </c>
      <c r="N59" s="30">
        <f t="shared" si="17"/>
        <v>20</v>
      </c>
      <c r="O59" s="29">
        <f t="shared" si="17"/>
        <v>22</v>
      </c>
      <c r="P59" s="29">
        <f t="shared" si="17"/>
        <v>21</v>
      </c>
      <c r="Q59" s="29">
        <f t="shared" si="17"/>
        <v>20</v>
      </c>
      <c r="R59" s="29">
        <f t="shared" si="17"/>
        <v>19</v>
      </c>
      <c r="S59" s="29">
        <f t="shared" si="17"/>
        <v>19</v>
      </c>
      <c r="T59" s="30">
        <f t="shared" si="17"/>
        <v>19</v>
      </c>
      <c r="U59" s="30">
        <f t="shared" si="17"/>
        <v>16</v>
      </c>
      <c r="V59" s="29">
        <f t="shared" si="17"/>
        <v>22</v>
      </c>
      <c r="W59" s="29">
        <f t="shared" si="17"/>
        <v>22</v>
      </c>
      <c r="X59" s="29">
        <f t="shared" si="17"/>
        <v>21</v>
      </c>
      <c r="Y59" s="29">
        <f t="shared" si="17"/>
        <v>20</v>
      </c>
      <c r="Z59" s="29">
        <f t="shared" si="17"/>
        <v>19</v>
      </c>
      <c r="AA59" s="30">
        <f t="shared" si="17"/>
        <v>18</v>
      </c>
      <c r="AB59" s="30">
        <f t="shared" si="17"/>
        <v>19</v>
      </c>
      <c r="AC59" s="29">
        <f t="shared" si="17"/>
        <v>24</v>
      </c>
      <c r="AD59" s="29">
        <f t="shared" si="17"/>
        <v>23</v>
      </c>
      <c r="AE59" s="29">
        <f t="shared" si="17"/>
        <v>22</v>
      </c>
      <c r="AF59" s="29">
        <f t="shared" si="17"/>
        <v>20</v>
      </c>
      <c r="AG59" s="29">
        <f t="shared" si="17"/>
        <v>19</v>
      </c>
      <c r="AH59" s="30">
        <f t="shared" si="17"/>
        <v>18</v>
      </c>
      <c r="AI59" s="30">
        <f t="shared" si="17"/>
        <v>19</v>
      </c>
      <c r="AJ59" s="29">
        <f t="shared" si="17"/>
        <v>24</v>
      </c>
      <c r="AK59" s="29">
        <f t="shared" si="17"/>
        <v>22</v>
      </c>
      <c r="AL59" s="29">
        <f t="shared" si="17"/>
        <v>21</v>
      </c>
      <c r="AM59" s="29">
        <f t="shared" si="17"/>
        <v>20</v>
      </c>
      <c r="AN59" s="29">
        <f t="shared" si="17"/>
        <v>18</v>
      </c>
      <c r="AO59" s="30">
        <f t="shared" si="17"/>
        <v>20</v>
      </c>
      <c r="AP59" s="30">
        <f t="shared" si="17"/>
        <v>20</v>
      </c>
      <c r="AQ59" s="29">
        <f t="shared" si="17"/>
        <v>24</v>
      </c>
    </row>
    <row r="60" spans="4:43" ht="28.5" x14ac:dyDescent="0.3">
      <c r="D60" s="20" t="s">
        <v>152</v>
      </c>
      <c r="E60" s="14"/>
      <c r="F60" s="13"/>
      <c r="G60" s="13"/>
      <c r="H60" s="29">
        <f t="shared" ref="H60:AQ60" si="18">SUM(H59,H43,H42,H44)</f>
        <v>26</v>
      </c>
      <c r="I60" s="29">
        <f t="shared" si="18"/>
        <v>26</v>
      </c>
      <c r="J60" s="29">
        <f t="shared" si="18"/>
        <v>24</v>
      </c>
      <c r="K60" s="29">
        <f t="shared" si="18"/>
        <v>23</v>
      </c>
      <c r="L60" s="29">
        <f t="shared" si="18"/>
        <v>26</v>
      </c>
      <c r="M60" s="30">
        <f t="shared" si="18"/>
        <v>22</v>
      </c>
      <c r="N60" s="30">
        <f t="shared" si="18"/>
        <v>23</v>
      </c>
      <c r="O60" s="29">
        <f t="shared" si="18"/>
        <v>27</v>
      </c>
      <c r="P60" s="29">
        <f t="shared" si="18"/>
        <v>27</v>
      </c>
      <c r="Q60" s="29">
        <f t="shared" si="18"/>
        <v>25</v>
      </c>
      <c r="R60" s="29">
        <f t="shared" si="18"/>
        <v>22</v>
      </c>
      <c r="S60" s="29">
        <f t="shared" si="18"/>
        <v>22</v>
      </c>
      <c r="T60" s="30">
        <f t="shared" si="18"/>
        <v>22</v>
      </c>
      <c r="U60" s="30">
        <f t="shared" si="18"/>
        <v>19</v>
      </c>
      <c r="V60" s="29">
        <f t="shared" si="18"/>
        <v>27</v>
      </c>
      <c r="W60" s="29">
        <f t="shared" si="18"/>
        <v>28</v>
      </c>
      <c r="X60" s="29">
        <f t="shared" si="18"/>
        <v>26</v>
      </c>
      <c r="Y60" s="29">
        <f t="shared" si="18"/>
        <v>23</v>
      </c>
      <c r="Z60" s="29">
        <f t="shared" si="18"/>
        <v>22</v>
      </c>
      <c r="AA60" s="30">
        <f t="shared" si="18"/>
        <v>21</v>
      </c>
      <c r="AB60" s="30">
        <f t="shared" si="18"/>
        <v>22</v>
      </c>
      <c r="AC60" s="29">
        <f t="shared" si="18"/>
        <v>29</v>
      </c>
      <c r="AD60" s="29">
        <f t="shared" si="18"/>
        <v>29</v>
      </c>
      <c r="AE60" s="29">
        <f t="shared" si="18"/>
        <v>27</v>
      </c>
      <c r="AF60" s="29">
        <f t="shared" si="18"/>
        <v>23</v>
      </c>
      <c r="AG60" s="29">
        <f t="shared" si="18"/>
        <v>22</v>
      </c>
      <c r="AH60" s="30">
        <f t="shared" si="18"/>
        <v>21</v>
      </c>
      <c r="AI60" s="30">
        <f t="shared" si="18"/>
        <v>22</v>
      </c>
      <c r="AJ60" s="29">
        <f t="shared" si="18"/>
        <v>29</v>
      </c>
      <c r="AK60" s="29">
        <f t="shared" si="18"/>
        <v>28</v>
      </c>
      <c r="AL60" s="29">
        <f t="shared" si="18"/>
        <v>26</v>
      </c>
      <c r="AM60" s="29">
        <f t="shared" si="18"/>
        <v>23</v>
      </c>
      <c r="AN60" s="29">
        <f t="shared" si="18"/>
        <v>21</v>
      </c>
      <c r="AO60" s="30">
        <f t="shared" si="18"/>
        <v>23</v>
      </c>
      <c r="AP60" s="30">
        <f t="shared" si="18"/>
        <v>24</v>
      </c>
      <c r="AQ60" s="29">
        <f t="shared" si="18"/>
        <v>29</v>
      </c>
    </row>
  </sheetData>
  <mergeCells count="10">
    <mergeCell ref="AF1:AQ1"/>
    <mergeCell ref="AR2:AR3"/>
    <mergeCell ref="A1:G1"/>
    <mergeCell ref="A2:A3"/>
    <mergeCell ref="B2:B3"/>
    <mergeCell ref="C2:C3"/>
    <mergeCell ref="F2:F3"/>
    <mergeCell ref="G2:G3"/>
    <mergeCell ref="D2:D3"/>
    <mergeCell ref="E2:E3"/>
  </mergeCells>
  <phoneticPr fontId="14" type="noConversion"/>
  <conditionalFormatting sqref="H2:AQ3">
    <cfRule type="cellIs" dxfId="23" priority="28294" operator="equal">
      <formula>"周六"</formula>
    </cfRule>
  </conditionalFormatting>
  <conditionalFormatting sqref="H2:AQ3">
    <cfRule type="cellIs" dxfId="22" priority="28293" operator="equal">
      <formula>"TR-A22"</formula>
    </cfRule>
  </conditionalFormatting>
  <conditionalFormatting sqref="D52">
    <cfRule type="duplicateValues" dxfId="21" priority="369"/>
  </conditionalFormatting>
  <conditionalFormatting sqref="D52">
    <cfRule type="duplicateValues" dxfId="20" priority="368"/>
  </conditionalFormatting>
  <conditionalFormatting sqref="H7:I7 L7:AQ7 H8:AQ41 H4:AQ6">
    <cfRule type="containsText" dxfId="19" priority="11" operator="containsText" text="病假">
      <formula>NOT(ISERROR(SEARCH("病假",H4)))</formula>
    </cfRule>
    <cfRule type="containsText" dxfId="18" priority="12" operator="containsText" text="调休">
      <formula>NOT(ISERROR(SEARCH("调休",H4)))</formula>
    </cfRule>
    <cfRule type="containsText" dxfId="17" priority="13" operator="containsText" text="年假">
      <formula>NOT(ISERROR(SEARCH("年假",H4)))</formula>
    </cfRule>
    <cfRule type="containsText" dxfId="16" priority="14" operator="containsText" text="事假">
      <formula>NOT(ISERROR(SEARCH("事假",H4)))</formula>
    </cfRule>
    <cfRule type="cellIs" dxfId="15" priority="15" operator="equal">
      <formula>"OFF"</formula>
    </cfRule>
    <cfRule type="cellIs" dxfId="14" priority="16" operator="equal">
      <formula>"A01"</formula>
    </cfRule>
    <cfRule type="cellIs" dxfId="13" priority="17" operator="equal">
      <formula>"A00"</formula>
    </cfRule>
    <cfRule type="cellIs" dxfId="12" priority="18" operator="equal">
      <formula>"A23"</formula>
    </cfRule>
    <cfRule type="cellIs" dxfId="11" priority="19" operator="equal">
      <formula>"A22"</formula>
    </cfRule>
    <cfRule type="cellIs" dxfId="10" priority="20" operator="equal">
      <formula>"A21"</formula>
    </cfRule>
  </conditionalFormatting>
  <conditionalFormatting sqref="J7:K7">
    <cfRule type="containsText" dxfId="9" priority="1" operator="containsText" text="病假">
      <formula>NOT(ISERROR(SEARCH("病假",J7)))</formula>
    </cfRule>
    <cfRule type="containsText" dxfId="8" priority="2" operator="containsText" text="调休">
      <formula>NOT(ISERROR(SEARCH("调休",J7)))</formula>
    </cfRule>
    <cfRule type="containsText" dxfId="7" priority="3" operator="containsText" text="年假">
      <formula>NOT(ISERROR(SEARCH("年假",J7)))</formula>
    </cfRule>
    <cfRule type="containsText" dxfId="6" priority="4" operator="containsText" text="事假">
      <formula>NOT(ISERROR(SEARCH("事假",J7)))</formula>
    </cfRule>
    <cfRule type="cellIs" dxfId="5" priority="5" operator="equal">
      <formula>"OFF"</formula>
    </cfRule>
    <cfRule type="cellIs" dxfId="4" priority="6" operator="equal">
      <formula>"A01"</formula>
    </cfRule>
    <cfRule type="cellIs" dxfId="3" priority="7" operator="equal">
      <formula>"A00"</formula>
    </cfRule>
    <cfRule type="cellIs" dxfId="2" priority="8" operator="equal">
      <formula>"A23"</formula>
    </cfRule>
    <cfRule type="cellIs" dxfId="1" priority="9" operator="equal">
      <formula>"A22"</formula>
    </cfRule>
    <cfRule type="cellIs" dxfId="0" priority="10" operator="equal">
      <formula>"A21"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Haoxiang Yang (杨浩祥)</dc:creator>
  <cp:lastModifiedBy>Haoxiang Yang (杨浩祥)</cp:lastModifiedBy>
  <dcterms:created xsi:type="dcterms:W3CDTF">2015-06-05T18:19:34Z</dcterms:created>
  <dcterms:modified xsi:type="dcterms:W3CDTF">2026-10-26T17:47:18Z</dcterms:modified>
</cp:coreProperties>
</file>